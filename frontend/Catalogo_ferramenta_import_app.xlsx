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f33a77ed04f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Ferramenta" sheetId="1" r:id="R6fa149b56b0743cc"/>
    <x:sheet xmlns:r="http://schemas.openxmlformats.org/officeDocument/2006/relationships" name="Leggimi" sheetId="2" r:id="Ra697a4399dcd43d0"/>
    <x:sheet xmlns:r="http://schemas.openxmlformats.org/officeDocument/2006/relationships" name="Import_App" sheetId="3" r:id="Re6460465ed214466"/>
    <x:sheet xmlns:r="http://schemas.openxmlformats.org/officeDocument/2006/relationships" name="Leggimi_Import" sheetId="4" r:id="R337541205258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€ #,##0.00"/>
    <x:numFmt numFmtId="201" formatCode="0"/>
    <x:numFmt numFmtId="202" formatCode="yyyy-mm-dd"/>
    <x:numFmt numFmtId="203" formatCode="TRUE/FALSE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3B2418"/>
      </x:patternFill>
    </x:fill>
    <x:fill>
      <x:patternFill patternType="solid">
        <x:fgColor rgb="86512A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ill>
        <x:patternFill>
          <x:bgColor rgb="FFF2CC"/>
        </x:patternFill>
      </x:fill>
    </x:dxf>
    <x:dxf>
      <x:fill>
        <x:patternFill>
          <x:bgColor rgb="E2F0D9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885025267431d" /><Relationship Type="http://schemas.openxmlformats.org/officeDocument/2006/relationships/theme" Target="/xl/theme/theme1.xml" Id="R4c76af1ebaa74bcc" /><Relationship Type="http://schemas.openxmlformats.org/officeDocument/2006/relationships/sharedStrings" Target="/xl/sharedStrings.xml" Id="R5be5b12d4f5d4a8f" /><Relationship Type="http://schemas.openxmlformats.org/officeDocument/2006/relationships/worksheet" Target="/xl/worksheets/sheet1.xml" Id="R6fa149b56b0743cc" /><Relationship Type="http://schemas.openxmlformats.org/officeDocument/2006/relationships/worksheet" Target="/xl/worksheets/sheet2.xml" Id="Ra697a4399dcd43d0" /><Relationship Type="http://schemas.openxmlformats.org/officeDocument/2006/relationships/worksheet" Target="/xl/worksheets/sheet3.xml" Id="Re6460465ed214466" /><Relationship Type="http://schemas.openxmlformats.org/officeDocument/2006/relationships/worksheet" Target="/xl/worksheets/sheet4.xml" Id="R337541205258490f" /></Relationships>
</file>

<file path=xl/tables/table1.xml><?xml version="1.0" encoding="utf-8"?>
<x:table xmlns:x="http://schemas.openxmlformats.org/spreadsheetml/2006/main" id="1" name="CatalogoFerramentaBD" displayName="CatalogoFerramentaBD" ref="A1:S271" headerRowCount="1">
  <x:tableColumns count="19">
    <x:tableColumn id="1" name="ID"/>
    <x:tableColumn id="2" name="Barcode"/>
    <x:tableColumn id="3" name="Codice_Fornitore"/>
    <x:tableColumn id="4" name="Descrizione"/>
    <x:tableColumn id="5" name="Marca"/>
    <x:tableColumn id="6" name="Categoria"/>
    <x:tableColumn id="7" name="Sottocategoria"/>
    <x:tableColumn id="8" name="Prezzo_Acquisto"/>
    <x:tableColumn id="9" name="Prezzo_Vendita"/>
    <x:tableColumn id="10" name="IVA"/>
    <x:tableColumn id="11" name="Quantita"/>
    <x:tableColumn id="12" name="Scaffale"/>
    <x:tableColumn id="13" name="Corsia"/>
    <x:tableColumn id="14" name="Fornitore"/>
    <x:tableColumn id="15" name="Foto"/>
    <x:tableColumn id="16" name="Note"/>
    <x:tableColumn id="17" name="Data_Aggiornamento"/>
    <x:tableColumn id="18" name="Pagina_Catalogo"/>
    <x:tableColumn id="19" name="Fonte"/>
  </x:tableColumns>
  <x:tableStyleInfo name="TableStyleMedium2" showRowStripes="1"/>
</x:table>
</file>

<file path=xl/tables/table2.xml><?xml version="1.0" encoding="utf-8"?>
<x:table xmlns:x="http://schemas.openxmlformats.org/spreadsheetml/2006/main" id="3" name="CatalogoFerramentaTable" displayName="CatalogoFerramentaTable" ref="A1:S271" headerRowCount="1">
  <x:tableColumns count="19">
    <x:tableColumn id="1" name="ID"/>
    <x:tableColumn id="2" name="Barcode"/>
    <x:tableColumn id="3" name="Codice_Fornitore"/>
    <x:tableColumn id="4" name="Descrizione"/>
    <x:tableColumn id="5" name="Marca"/>
    <x:tableColumn id="6" name="Categoria"/>
    <x:tableColumn id="7" name="Sottocategoria"/>
    <x:tableColumn id="8" name="Prezzo_Acquisto"/>
    <x:tableColumn id="9" name="Prezzo_Vendita"/>
    <x:tableColumn id="10" name="IVA"/>
    <x:tableColumn id="11" name="Quantita"/>
    <x:tableColumn id="12" name="Scaffale"/>
    <x:tableColumn id="13" name="Corsia"/>
    <x:tableColumn id="14" name="Fornitore"/>
    <x:tableColumn id="15" name="Foto"/>
    <x:tableColumn id="16" name="Note"/>
    <x:tableColumn id="17" name="Data_Aggiornamento"/>
    <x:tableColumn id="18" name="Pagina_Catalogo"/>
    <x:tableColumn id="19" name="Fonte"/>
  </x:tableColumns>
  <x:tableStyleInfo name="TableStyleMedium2" showRowStripes="1"/>
</x:table>
</file>

<file path=xl/tables/table3.xml><?xml version="1.0" encoding="utf-8"?>
<x:table xmlns:x="http://schemas.openxmlformats.org/spreadsheetml/2006/main" id="2" name="ImportAppTable" displayName="ImportAppTable" ref="A1:T271" headerRowCount="1">
  <x:tableColumns count="20">
    <x:tableColumn id="1" name="id"/>
    <x:tableColumn id="2" name="barcode"/>
    <x:tableColumn id="3" name="codice_fornitore"/>
    <x:tableColumn id="4" name="nome"/>
    <x:tableColumn id="5" name="marca"/>
    <x:tableColumn id="6" name="categoria"/>
    <x:tableColumn id="7" name="sottocategoria"/>
    <x:tableColumn id="8" name="prezzo_costo"/>
    <x:tableColumn id="9" name="prezzo_vendita"/>
    <x:tableColumn id="10" name="iva"/>
    <x:tableColumn id="11" name="quantita"/>
    <x:tableColumn id="12" name="scorta_minima"/>
    <x:tableColumn id="13" name="scaffale"/>
    <x:tableColumn id="14" name="corsia"/>
    <x:tableColumn id="15" name="fornitore"/>
    <x:tableColumn id="16" name="note"/>
    <x:tableColumn id="17" name="pagina_catalogo"/>
    <x:tableColumn id="18" name="fonte"/>
    <x:tableColumn id="19" name="pronto_import"/>
    <x:tableColumn id="20" name="avvi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0aab4dcf4e4bf8" /><Relationship Type="http://schemas.openxmlformats.org/officeDocument/2006/relationships/table" Target="/xl/tables/table2.xml" Id="R0fc060f99271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4ee1c606d8f472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42" hidden="0" customWidth="1"/>
    <x:col min="5" max="5" width="18" hidden="0" customWidth="1"/>
    <x:col min="6" max="6" width="22" hidden="0" customWidth="1"/>
    <x:col min="7" max="7" width="34" hidden="0" customWidth="1"/>
    <x:col min="8" max="8" width="16" hidden="0" customWidth="1"/>
    <x:col min="9" max="9" width="16" hidden="0" customWidth="1"/>
    <x:col min="10" max="10" width="8" hidden="0" customWidth="1"/>
    <x:col min="11" max="11" width="10" hidden="0" customWidth="1"/>
    <x:col min="12" max="12" width="14" hidden="0" customWidth="1"/>
    <x:col min="13" max="13" width="12" hidden="0" customWidth="1"/>
    <x:col min="14" max="14" width="18" hidden="0" customWidth="1"/>
    <x:col min="15" max="15" width="16" hidden="0" customWidth="1"/>
    <x:col min="16" max="16" width="55" hidden="0" customWidth="1"/>
    <x:col min="17" max="17" width="18" hidden="0" customWidth="1"/>
    <x:col min="18" max="18" width="14" hidden="0" customWidth="1"/>
    <x:col min="19" max="19" width="34" hidden="0" customWidth="1"/>
  </x:cols>
  <x:sheetData>
    <x:row r="1" ht="28" customHeight="1">
      <x:c r="A1" s="48" t="str">
        <x:v>ID</x:v>
      </x:c>
      <x:c r="B1" s="48" t="str">
        <x:v>Barcode</x:v>
      </x:c>
      <x:c r="C1" s="48" t="str">
        <x:v>Codice_Fornitore</x:v>
      </x:c>
      <x:c r="D1" s="48" t="str">
        <x:v>Descrizione</x:v>
      </x:c>
      <x:c r="E1" s="48" t="str">
        <x:v>Marca</x:v>
      </x:c>
      <x:c r="F1" s="48" t="str">
        <x:v>Categoria</x:v>
      </x:c>
      <x:c r="G1" s="48" t="str">
        <x:v>Sottocategoria</x:v>
      </x:c>
      <x:c r="H1" s="48" t="str">
        <x:v>Prezzo_Acquisto</x:v>
      </x:c>
      <x:c r="I1" s="48" t="str">
        <x:v>Prezzo_Vendita</x:v>
      </x:c>
      <x:c r="J1" s="48" t="str">
        <x:v>IVA</x:v>
      </x:c>
      <x:c r="K1" s="48" t="str">
        <x:v>Quantita</x:v>
      </x:c>
      <x:c r="L1" s="48" t="str">
        <x:v>Scaffale</x:v>
      </x:c>
      <x:c r="M1" s="48" t="str">
        <x:v>Corsia</x:v>
      </x:c>
      <x:c r="N1" s="48" t="str">
        <x:v>Fornitore</x:v>
      </x:c>
      <x:c r="O1" s="48" t="str">
        <x:v>Foto</x:v>
      </x:c>
      <x:c r="P1" s="48" t="str">
        <x:v>Note</x:v>
      </x:c>
      <x:c r="Q1" s="48" t="str">
        <x:v>Data_Aggiornamento</x:v>
      </x:c>
      <x:c r="R1" s="48" t="str">
        <x:v>Pagina_Catalogo</x:v>
      </x:c>
      <x:c r="S1" s="48" t="str">
        <x:v>Fonte</x:v>
      </x:c>
    </x:row>
    <x:row r="2">
      <x:c r="A2" s="27" t="str">
        <x:v>BD-0001</x:v>
      </x:c>
      <x:c r="B2" s="27" t="str">
        <x:v>5011402713929</x:v>
      </x:c>
      <x:c r="C2" s="27" t="str">
        <x:v>A6046-XJ</x:v>
      </x:c>
      <x:c r="D2" s="27" t="str">
        <x:v>Filo Nylon 37,5 mt spessore 1,5 mm</x:v>
      </x:c>
      <x:c r="E2" s="27" t="str">
        <x:v>BLACK+DECKER</x:v>
      </x:c>
      <x:c r="F2" s="27" t="str">
        <x:v>GAMMA GIARDINO</x:v>
      </x:c>
      <x:c r="G2" s="27" t="str">
        <x:v>ACCESSORI GIARDINO</x:v>
      </x:c>
      <x:c r="H2" s="28"/>
      <x:c r="I2" s="28"/>
      <x:c r="J2" s="29" t="n">
        <x:v>22</x:v>
      </x:c>
      <x:c r="K2" s="27" t="str"/>
      <x:c r="L2" s="27" t="str"/>
      <x:c r="M2" s="27" t="str"/>
      <x:c r="N2" s="27" t="str">
        <x:v>BLACK+DECKER</x:v>
      </x:c>
      <x:c r="O2" s="27" t="str"/>
      <x:c r="P2" s="27" t="str">
        <x:v>Catalogo Black+Decker Lo Specialista 2026, pagina 97. Prezzi se presenti: raccomandati dal catalogo.</x:v>
      </x:c>
      <x:c r="Q2" s="30" t="str">
        <x:v>2026-06-10</x:v>
      </x:c>
      <x:c r="R2" s="27" t="n">
        <x:v>97</x:v>
      </x:c>
      <x:c r="S2" s="27" t="str">
        <x:v>B+D_CATALOGO Lo Specialista 2026.pdf</x:v>
      </x:c>
    </x:row>
    <x:row r="3">
      <x:c r="A3" s="27" t="str">
        <x:v>BD-0002</x:v>
      </x:c>
      <x:c r="B3" s="27" t="str">
        <x:v>5035048561508</x:v>
      </x:c>
      <x:c r="C3" s="27" t="str">
        <x:v>A6125CSL-XJ</x:v>
      </x:c>
      <x:c r="D3" s="27" t="str">
        <x:v>Catena cromata 25 cm</x:v>
      </x:c>
      <x:c r="E3" s="27" t="str">
        <x:v>BLACK+DECKER</x:v>
      </x:c>
      <x:c r="F3" s="27" t="str">
        <x:v>GAMMA GIARDINO</x:v>
      </x:c>
      <x:c r="G3" s="27" t="str">
        <x:v>ACCESSORI GIARDINO</x:v>
      </x:c>
      <x:c r="H3" s="28"/>
      <x:c r="I3" s="28"/>
      <x:c r="J3" s="29" t="n">
        <x:v>22</x:v>
      </x:c>
      <x:c r="K3" s="27" t="str"/>
      <x:c r="L3" s="27" t="str"/>
      <x:c r="M3" s="27" t="str"/>
      <x:c r="N3" s="27" t="str">
        <x:v>BLACK+DECKER</x:v>
      </x:c>
      <x:c r="O3" s="27" t="str"/>
      <x:c r="P3" s="27" t="str">
        <x:v>Catalogo Black+Decker Lo Specialista 2026, pagina 109. Prezzi se presenti: raccomandati dal catalogo.</x:v>
      </x:c>
      <x:c r="Q3" s="30" t="str">
        <x:v>2026-06-10</x:v>
      </x:c>
      <x:c r="R3" s="27" t="n">
        <x:v>109</x:v>
      </x:c>
      <x:c r="S3" s="27" t="str">
        <x:v>B+D_CATALOGO Lo Specialista 2026.pdf</x:v>
      </x:c>
    </x:row>
    <x:row r="4">
      <x:c r="A4" s="27" t="str">
        <x:v>BD-0003</x:v>
      </x:c>
      <x:c r="B4" s="27" t="str">
        <x:v>5035048561522</x:v>
      </x:c>
      <x:c r="C4" s="27" t="str">
        <x:v>A6130CSL-XJ</x:v>
      </x:c>
      <x:c r="D4" s="27" t="str">
        <x:v>Catena cromata 30 cm</x:v>
      </x:c>
      <x:c r="E4" s="27" t="str">
        <x:v>BLACK+DECKER</x:v>
      </x:c>
      <x:c r="F4" s="27" t="str">
        <x:v>GAMMA GIARDINO</x:v>
      </x:c>
      <x:c r="G4" s="27" t="str">
        <x:v>ACCESSORI GIARDINO</x:v>
      </x:c>
      <x:c r="H4" s="28"/>
      <x:c r="I4" s="28"/>
      <x:c r="J4" s="29" t="n">
        <x:v>22</x:v>
      </x:c>
      <x:c r="K4" s="27" t="str"/>
      <x:c r="L4" s="27" t="str"/>
      <x:c r="M4" s="27" t="str"/>
      <x:c r="N4" s="27" t="str">
        <x:v>BLACK+DECKER</x:v>
      </x:c>
      <x:c r="O4" s="27" t="str"/>
      <x:c r="P4" s="27" t="str">
        <x:v>Catalogo Black+Decker Lo Specialista 2026, pagina 109. Prezzi se presenti: raccomandati dal catalogo.</x:v>
      </x:c>
      <x:c r="Q4" s="30" t="str">
        <x:v>2026-06-10</x:v>
      </x:c>
      <x:c r="R4" s="27" t="n">
        <x:v>109</x:v>
      </x:c>
      <x:c r="S4" s="27" t="str">
        <x:v>B+D_CATALOGO Lo Specialista 2026.pdf</x:v>
      </x:c>
    </x:row>
    <x:row r="5">
      <x:c r="A5" s="27" t="str">
        <x:v>BD-0004</x:v>
      </x:c>
      <x:c r="B5" s="27" t="str">
        <x:v>5035048148907</x:v>
      </x:c>
      <x:c r="C5" s="27" t="str">
        <x:v>A6150-XJ</x:v>
      </x:c>
      <x:c r="D5" s="27" t="str">
        <x:v>Catena cromata 10 cm</x:v>
      </x:c>
      <x:c r="E5" s="27" t="str">
        <x:v>BLACK+DECKER</x:v>
      </x:c>
      <x:c r="F5" s="27" t="str">
        <x:v>GAMMA GIARDINO</x:v>
      </x:c>
      <x:c r="G5" s="27" t="str">
        <x:v>ACCESSORI GIARDINO</x:v>
      </x:c>
      <x:c r="H5" s="28"/>
      <x:c r="I5" s="28"/>
      <x:c r="J5" s="29" t="n">
        <x:v>22</x:v>
      </x:c>
      <x:c r="K5" s="27" t="str"/>
      <x:c r="L5" s="27" t="str"/>
      <x:c r="M5" s="27" t="str"/>
      <x:c r="N5" s="27" t="str">
        <x:v>BLACK+DECKER</x:v>
      </x:c>
      <x:c r="O5" s="27" t="str"/>
      <x:c r="P5" s="27" t="str">
        <x:v>Catalogo Black+Decker Lo Specialista 2026, pagina 109. Prezzi se presenti: raccomandati dal catalogo.</x:v>
      </x:c>
      <x:c r="Q5" s="30" t="str">
        <x:v>2026-06-10</x:v>
      </x:c>
      <x:c r="R5" s="27" t="n">
        <x:v>109</x:v>
      </x:c>
      <x:c r="S5" s="27" t="str">
        <x:v>B+D_CATALOGO Lo Specialista 2026.pdf</x:v>
      </x:c>
    </x:row>
    <x:row r="6">
      <x:c r="A6" s="27" t="str">
        <x:v>BD-0005</x:v>
      </x:c>
      <x:c r="B6" s="27" t="str">
        <x:v>5035048143032</x:v>
      </x:c>
      <x:c r="C6" s="27" t="str">
        <x:v>A6158-XJ</x:v>
      </x:c>
      <x:c r="D6" s="27" t="str">
        <x:v>Catena cromata 20 cm</x:v>
      </x:c>
      <x:c r="E6" s="27" t="str">
        <x:v>BLACK+DECKER</x:v>
      </x:c>
      <x:c r="F6" s="27" t="str">
        <x:v>GAMMA GIARDINO</x:v>
      </x:c>
      <x:c r="G6" s="27" t="str">
        <x:v>ACCESSORI GIARDINO</x:v>
      </x:c>
      <x:c r="H6" s="28"/>
      <x:c r="I6" s="28"/>
      <x:c r="J6" s="29" t="n">
        <x:v>22</x:v>
      </x:c>
      <x:c r="K6" s="27" t="str"/>
      <x:c r="L6" s="27" t="str"/>
      <x:c r="M6" s="27" t="str"/>
      <x:c r="N6" s="27" t="str">
        <x:v>BLACK+DECKER</x:v>
      </x:c>
      <x:c r="O6" s="27" t="str"/>
      <x:c r="P6" s="27" t="str">
        <x:v>Catalogo Black+Decker Lo Specialista 2026, pagina 109. Prezzi se presenti: raccomandati dal catalogo.</x:v>
      </x:c>
      <x:c r="Q6" s="30" t="str">
        <x:v>2026-06-10</x:v>
      </x:c>
      <x:c r="R6" s="27" t="n">
        <x:v>109</x:v>
      </x:c>
      <x:c r="S6" s="27" t="str">
        <x:v>B+D_CATALOGO Lo Specialista 2026.pdf</x:v>
      </x:c>
    </x:row>
    <x:row r="7">
      <x:c r="A7" s="27" t="str">
        <x:v>BD-0006</x:v>
      </x:c>
      <x:c r="B7" s="27" t="str">
        <x:v>5035048561584</x:v>
      </x:c>
      <x:c r="C7" s="27" t="str">
        <x:v>A6225CS-XJ</x:v>
      </x:c>
      <x:c r="D7" s="27" t="str">
        <x:v>Catena cromata 25 cm</x:v>
      </x:c>
      <x:c r="E7" s="27" t="str">
        <x:v>BLACK+DECKER</x:v>
      </x:c>
      <x:c r="F7" s="27" t="str">
        <x:v>GAMMA GIARDINO</x:v>
      </x:c>
      <x:c r="G7" s="27" t="str">
        <x:v>ACCESSORI GIARDINO</x:v>
      </x:c>
      <x:c r="H7" s="28"/>
      <x:c r="I7" s="28"/>
      <x:c r="J7" s="29" t="n">
        <x:v>22</x:v>
      </x:c>
      <x:c r="K7" s="27" t="str"/>
      <x:c r="L7" s="27" t="str"/>
      <x:c r="M7" s="27" t="str"/>
      <x:c r="N7" s="27" t="str">
        <x:v>BLACK+DECKER</x:v>
      </x:c>
      <x:c r="O7" s="27" t="str"/>
      <x:c r="P7" s="27" t="str">
        <x:v>Catalogo Black+Decker Lo Specialista 2026, pagina 109. Prezzi se presenti: raccomandati dal catalogo.</x:v>
      </x:c>
      <x:c r="Q7" s="30" t="str">
        <x:v>2026-06-10</x:v>
      </x:c>
      <x:c r="R7" s="27" t="n">
        <x:v>109</x:v>
      </x:c>
      <x:c r="S7" s="27" t="str">
        <x:v>B+D_CATALOGO Lo Specialista 2026.pdf</x:v>
      </x:c>
    </x:row>
    <x:row r="8">
      <x:c r="A8" s="27" t="str">
        <x:v>BD-0007</x:v>
      </x:c>
      <x:c r="B8" s="27" t="str">
        <x:v>5035048627808</x:v>
      </x:c>
      <x:c r="C8" s="27" t="str">
        <x:v>A6235CS-XJ</x:v>
      </x:c>
      <x:c r="D8" s="27" t="str">
        <x:v>Catena cromata 35cm</x:v>
      </x:c>
      <x:c r="E8" s="27" t="str">
        <x:v>BLACK+DECKER</x:v>
      </x:c>
      <x:c r="F8" s="27" t="str">
        <x:v>GAMMA GIARDINO</x:v>
      </x:c>
      <x:c r="G8" s="27" t="str">
        <x:v>ACCESSORI GIARDINO</x:v>
      </x:c>
      <x:c r="H8" s="28"/>
      <x:c r="I8" s="28"/>
      <x:c r="J8" s="29" t="n">
        <x:v>22</x:v>
      </x:c>
      <x:c r="K8" s="27" t="str"/>
      <x:c r="L8" s="27" t="str"/>
      <x:c r="M8" s="27" t="str"/>
      <x:c r="N8" s="27" t="str">
        <x:v>BLACK+DECKER</x:v>
      </x:c>
      <x:c r="O8" s="27" t="str"/>
      <x:c r="P8" s="27" t="str">
        <x:v>Catalogo Black+Decker Lo Specialista 2026, pagina 109. Prezzi se presenti: raccomandati dal catalogo.</x:v>
      </x:c>
      <x:c r="Q8" s="30" t="str">
        <x:v>2026-06-10</x:v>
      </x:c>
      <x:c r="R8" s="27" t="n">
        <x:v>109</x:v>
      </x:c>
      <x:c r="S8" s="27" t="str">
        <x:v>B+D_CATALOGO Lo Specialista 2026.pdf</x:v>
      </x:c>
    </x:row>
    <x:row r="9">
      <x:c r="A9" s="27" t="str">
        <x:v>BD-0008</x:v>
      </x:c>
      <x:c r="B9" s="27" t="str">
        <x:v>5035048627822</x:v>
      </x:c>
      <x:c r="C9" s="27" t="str">
        <x:v>A6240CS-XJ</x:v>
      </x:c>
      <x:c r="D9" s="27" t="str">
        <x:v>Catena cromata 40 cm</x:v>
      </x:c>
      <x:c r="E9" s="27" t="str">
        <x:v>BLACK+DECKER</x:v>
      </x:c>
      <x:c r="F9" s="27" t="str">
        <x:v>GAMMA GIARDINO</x:v>
      </x:c>
      <x:c r="G9" s="27" t="str">
        <x:v>ACCESSORI GIARDINO</x:v>
      </x:c>
      <x:c r="H9" s="28"/>
      <x:c r="I9" s="28"/>
      <x:c r="J9" s="29" t="n">
        <x:v>22</x:v>
      </x:c>
      <x:c r="K9" s="27" t="str"/>
      <x:c r="L9" s="27" t="str"/>
      <x:c r="M9" s="27" t="str"/>
      <x:c r="N9" s="27" t="str">
        <x:v>BLACK+DECKER</x:v>
      </x:c>
      <x:c r="O9" s="27" t="str"/>
      <x:c r="P9" s="27" t="str">
        <x:v>Catalogo Black+Decker Lo Specialista 2026, pagina 109. Prezzi se presenti: raccomandati dal catalogo.</x:v>
      </x:c>
      <x:c r="Q9" s="30" t="str">
        <x:v>2026-06-10</x:v>
      </x:c>
      <x:c r="R9" s="27" t="n">
        <x:v>109</x:v>
      </x:c>
      <x:c r="S9" s="27" t="str">
        <x:v>B+D_CATALOGO Lo Specialista 2026.pdf</x:v>
      </x:c>
    </x:row>
    <x:row r="10">
      <x:c r="A10" s="27" t="str">
        <x:v>BD-0009</x:v>
      </x:c>
      <x:c r="B10" s="27" t="str">
        <x:v>5035048561546</x:v>
      </x:c>
      <x:c r="C10" s="27" t="str">
        <x:v>A6245CS-XJ</x:v>
      </x:c>
      <x:c r="D10" s="27" t="str">
        <x:v>Catena cromata 45 cm</x:v>
      </x:c>
      <x:c r="E10" s="27" t="str">
        <x:v>BLACK+DECKER</x:v>
      </x:c>
      <x:c r="F10" s="27" t="str">
        <x:v>GAMMA GIARDINO</x:v>
      </x:c>
      <x:c r="G10" s="27" t="str">
        <x:v>ACCESSORI GIARDINO</x:v>
      </x:c>
      <x:c r="H10" s="28"/>
      <x:c r="I10" s="28"/>
      <x:c r="J10" s="29" t="n">
        <x:v>22</x:v>
      </x:c>
      <x:c r="K10" s="27" t="str"/>
      <x:c r="L10" s="27" t="str"/>
      <x:c r="M10" s="27" t="str"/>
      <x:c r="N10" s="27" t="str">
        <x:v>BLACK+DECKER</x:v>
      </x:c>
      <x:c r="O10" s="27" t="str"/>
      <x:c r="P10" s="27" t="str">
        <x:v>Catalogo Black+Decker Lo Specialista 2026, pagina 109. Prezzi se presenti: raccomandati dal catalogo.</x:v>
      </x:c>
      <x:c r="Q10" s="30" t="str">
        <x:v>2026-06-10</x:v>
      </x:c>
      <x:c r="R10" s="27" t="n">
        <x:v>109</x:v>
      </x:c>
      <x:c r="S10" s="27" t="str">
        <x:v>B+D_CATALOGO Lo Specialista 2026.pdf</x:v>
      </x:c>
    </x:row>
    <x:row r="11">
      <x:c r="A11" s="27" t="str">
        <x:v>BD-0010</x:v>
      </x:c>
      <x:c r="B11" s="27" t="str">
        <x:v>5035048692509</x:v>
      </x:c>
      <x:c r="C11" s="27" t="str">
        <x:v>A6319-XJ</x:v>
      </x:c>
      <x:c r="D11" s="27" t="str">
        <x:v>Lama per rasaerba BEMW 32 cm</x:v>
      </x:c>
      <x:c r="E11" s="27" t="str">
        <x:v>BLACK+DECKER</x:v>
      </x:c>
      <x:c r="F11" s="27" t="str">
        <x:v>GAMMA GIARDINO</x:v>
      </x:c>
      <x:c r="G11" s="27" t="str">
        <x:v>ACCESSORI GIARDINO</x:v>
      </x:c>
      <x:c r="H11" s="28"/>
      <x:c r="I11" s="28"/>
      <x:c r="J11" s="29" t="n">
        <x:v>22</x:v>
      </x:c>
      <x:c r="K11" s="27" t="str"/>
      <x:c r="L11" s="27" t="str"/>
      <x:c r="M11" s="27" t="str"/>
      <x:c r="N11" s="27" t="str">
        <x:v>BLACK+DECKER</x:v>
      </x:c>
      <x:c r="O11" s="27" t="str"/>
      <x:c r="P11" s="27" t="str">
        <x:v>Catalogo Black+Decker Lo Specialista 2026, pagina 86. Prezzi se presenti: raccomandati dal catalogo.</x:v>
      </x:c>
      <x:c r="Q11" s="30" t="str">
        <x:v>2026-06-10</x:v>
      </x:c>
      <x:c r="R11" s="27" t="n">
        <x:v>86</x:v>
      </x:c>
      <x:c r="S11" s="27" t="str">
        <x:v>B+D_CATALOGO Lo Specialista 2026.pdf</x:v>
      </x:c>
    </x:row>
    <x:row r="12">
      <x:c r="A12" s="27" t="str">
        <x:v>BD-0011</x:v>
      </x:c>
      <x:c r="B12" s="27" t="str">
        <x:v>5035048692516</x:v>
      </x:c>
      <x:c r="C12" s="27" t="str">
        <x:v>A6320-XJ</x:v>
      </x:c>
      <x:c r="D12" s="27" t="str">
        <x:v>Lama per rasaerba BEMW 34 cm</x:v>
      </x:c>
      <x:c r="E12" s="27" t="str">
        <x:v>BLACK+DECKER</x:v>
      </x:c>
      <x:c r="F12" s="27" t="str">
        <x:v>GAMMA GIARDINO</x:v>
      </x:c>
      <x:c r="G12" s="27" t="str">
        <x:v>ACCESSORI GIARDINO</x:v>
      </x:c>
      <x:c r="H12" s="28"/>
      <x:c r="I12" s="28"/>
      <x:c r="J12" s="29" t="n">
        <x:v>22</x:v>
      </x:c>
      <x:c r="K12" s="27" t="str"/>
      <x:c r="L12" s="27" t="str"/>
      <x:c r="M12" s="27" t="str"/>
      <x:c r="N12" s="27" t="str">
        <x:v>BLACK+DECKER</x:v>
      </x:c>
      <x:c r="O12" s="27" t="str"/>
      <x:c r="P12" s="27" t="str">
        <x:v>Catalogo Black+Decker Lo Specialista 2026, pagina 86. Prezzi se presenti: raccomandati dal catalogo.</x:v>
      </x:c>
      <x:c r="Q12" s="30" t="str">
        <x:v>2026-06-10</x:v>
      </x:c>
      <x:c r="R12" s="27" t="n">
        <x:v>86</x:v>
      </x:c>
      <x:c r="S12" s="27" t="str">
        <x:v>B+D_CATALOGO Lo Specialista 2026.pdf</x:v>
      </x:c>
    </x:row>
    <x:row r="13">
      <x:c r="A13" s="27" t="str">
        <x:v>BD-0012</x:v>
      </x:c>
      <x:c r="B13" s="27" t="str">
        <x:v>5035048692523</x:v>
      </x:c>
      <x:c r="C13" s="27" t="str">
        <x:v>A6321-XJ</x:v>
      </x:c>
      <x:c r="D13" s="27" t="str">
        <x:v>Lama per rasaerba BEMW 38 cm</x:v>
      </x:c>
      <x:c r="E13" s="27" t="str">
        <x:v>BLACK+DECKER</x:v>
      </x:c>
      <x:c r="F13" s="27" t="str">
        <x:v>GAMMA GIARDINO</x:v>
      </x:c>
      <x:c r="G13" s="27" t="str">
        <x:v>ACCESSORI GIARDINO</x:v>
      </x:c>
      <x:c r="H13" s="28"/>
      <x:c r="I13" s="28"/>
      <x:c r="J13" s="29" t="n">
        <x:v>22</x:v>
      </x:c>
      <x:c r="K13" s="27" t="str"/>
      <x:c r="L13" s="27" t="str"/>
      <x:c r="M13" s="27" t="str"/>
      <x:c r="N13" s="27" t="str">
        <x:v>BLACK+DECKER</x:v>
      </x:c>
      <x:c r="O13" s="27" t="str"/>
      <x:c r="P13" s="27" t="str">
        <x:v>Catalogo Black+Decker Lo Specialista 2026, pagina 86. Prezzi se presenti: raccomandati dal catalogo.</x:v>
      </x:c>
      <x:c r="Q13" s="30" t="str">
        <x:v>2026-06-10</x:v>
      </x:c>
      <x:c r="R13" s="27" t="n">
        <x:v>86</x:v>
      </x:c>
      <x:c r="S13" s="27" t="str">
        <x:v>B+D_CATALOGO Lo Specialista 2026.pdf</x:v>
      </x:c>
    </x:row>
    <x:row r="14">
      <x:c r="A14" s="27" t="str">
        <x:v>BD-0013</x:v>
      </x:c>
      <x:c r="B14" s="27" t="str">
        <x:v>5035048692530</x:v>
      </x:c>
      <x:c r="C14" s="27" t="str">
        <x:v>A6322-XJ</x:v>
      </x:c>
      <x:c r="D14" s="27" t="str">
        <x:v>Lama per rasaerba BEMW 42 cm</x:v>
      </x:c>
      <x:c r="E14" s="27" t="str">
        <x:v>BLACK+DECKER</x:v>
      </x:c>
      <x:c r="F14" s="27" t="str">
        <x:v>GAMMA GIARDINO</x:v>
      </x:c>
      <x:c r="G14" s="27" t="str">
        <x:v>ACCESSORI GIARDINO</x:v>
      </x:c>
      <x:c r="H14" s="28"/>
      <x:c r="I14" s="28"/>
      <x:c r="J14" s="29" t="n">
        <x:v>22</x:v>
      </x:c>
      <x:c r="K14" s="27" t="str"/>
      <x:c r="L14" s="27" t="str"/>
      <x:c r="M14" s="27" t="str"/>
      <x:c r="N14" s="27" t="str">
        <x:v>BLACK+DECKER</x:v>
      </x:c>
      <x:c r="O14" s="27" t="str"/>
      <x:c r="P14" s="27" t="str">
        <x:v>Catalogo Black+Decker Lo Specialista 2026, pagina 86. Prezzi se presenti: raccomandati dal catalogo.</x:v>
      </x:c>
      <x:c r="Q14" s="30" t="str">
        <x:v>2026-06-10</x:v>
      </x:c>
      <x:c r="R14" s="27" t="n">
        <x:v>86</x:v>
      </x:c>
      <x:c r="S14" s="27" t="str">
        <x:v>B+D_CATALOGO Lo Specialista 2026.pdf</x:v>
      </x:c>
    </x:row>
    <x:row r="15">
      <x:c r="A15" s="27" t="str">
        <x:v>BD-0014</x:v>
      </x:c>
      <x:c r="B15" s="27" t="str">
        <x:v>5035048715307</x:v>
      </x:c>
      <x:c r="C15" s="27" t="str">
        <x:v>A6323-XJ</x:v>
      </x:c>
      <x:c r="D15" s="27" t="str">
        <x:v>Lama per rasaerba BEMW 32 cm</x:v>
      </x:c>
      <x:c r="E15" s="27" t="str">
        <x:v>BLACK+DECKER</x:v>
      </x:c>
      <x:c r="F15" s="27" t="str">
        <x:v>GAMMA GIARDINO</x:v>
      </x:c>
      <x:c r="G15" s="27" t="str">
        <x:v>ACCESSORI GIARDINO</x:v>
      </x:c>
      <x:c r="H15" s="28"/>
      <x:c r="I15" s="28"/>
      <x:c r="J15" s="29" t="n">
        <x:v>22</x:v>
      </x:c>
      <x:c r="K15" s="27" t="str"/>
      <x:c r="L15" s="27" t="str"/>
      <x:c r="M15" s="27" t="str"/>
      <x:c r="N15" s="27" t="str">
        <x:v>BLACK+DECKER</x:v>
      </x:c>
      <x:c r="O15" s="27" t="str"/>
      <x:c r="P15" s="27" t="str">
        <x:v>Catalogo Black+Decker Lo Specialista 2026, pagina 86. Prezzi se presenti: raccomandati dal catalogo.</x:v>
      </x:c>
      <x:c r="Q15" s="30" t="str">
        <x:v>2026-06-10</x:v>
      </x:c>
      <x:c r="R15" s="27" t="n">
        <x:v>86</x:v>
      </x:c>
      <x:c r="S15" s="27" t="str">
        <x:v>B+D_CATALOGO Lo Specialista 2026.pdf</x:v>
      </x:c>
    </x:row>
    <x:row r="16">
      <x:c r="A16" s="27" t="str">
        <x:v>BD-0015</x:v>
      </x:c>
      <x:c r="B16" s="27" t="str">
        <x:v>5035048715321</x:v>
      </x:c>
      <x:c r="C16" s="27" t="str">
        <x:v>A6324X10-XJ</x:v>
      </x:c>
      <x:c r="D16" s="27" t="str">
        <x:v>Pack da 10 lame per rasaerba a cuscino d'aria (cod. BEMWH551-QS)</x:v>
      </x:c>
      <x:c r="E16" s="27" t="str">
        <x:v>BLACK+DECKER</x:v>
      </x:c>
      <x:c r="F16" s="27" t="str">
        <x:v>GAMMA GIARDINO</x:v>
      </x:c>
      <x:c r="G16" s="27" t="str">
        <x:v>ACCESSORI GIARDINO</x:v>
      </x:c>
      <x:c r="H16" s="28"/>
      <x:c r="I16" s="28"/>
      <x:c r="J16" s="29" t="n">
        <x:v>22</x:v>
      </x:c>
      <x:c r="K16" s="27" t="str"/>
      <x:c r="L16" s="27" t="str"/>
      <x:c r="M16" s="27" t="str"/>
      <x:c r="N16" s="27" t="str">
        <x:v>BLACK+DECKER</x:v>
      </x:c>
      <x:c r="O16" s="27" t="str"/>
      <x:c r="P16" s="27" t="str">
        <x:v>Catalogo Black+Decker Lo Specialista 2026, pagina 86. Prezzi se presenti: raccomandati dal catalogo.</x:v>
      </x:c>
      <x:c r="Q16" s="30" t="str">
        <x:v>2026-06-10</x:v>
      </x:c>
      <x:c r="R16" s="27" t="n">
        <x:v>86</x:v>
      </x:c>
      <x:c r="S16" s="27" t="str">
        <x:v>B+D_CATALOGO Lo Specialista 2026.pdf</x:v>
      </x:c>
    </x:row>
    <x:row r="17">
      <x:c r="A17" s="27" t="str">
        <x:v>BD-0016</x:v>
      </x:c>
      <x:c r="B17" s="27" t="str">
        <x:v>5035048715345</x:v>
      </x:c>
      <x:c r="C17" s="27" t="str">
        <x:v>A6324X20-XJ</x:v>
      </x:c>
      <x:c r="D17" s="27" t="str">
        <x:v>Pack da 20 lame per rasaerba a cuscino d'aria (cod. BEMWH551-QS)</x:v>
      </x:c>
      <x:c r="E17" s="27" t="str">
        <x:v>BLACK+DECKER</x:v>
      </x:c>
      <x:c r="F17" s="27" t="str">
        <x:v>GAMMA GIARDINO</x:v>
      </x:c>
      <x:c r="G17" s="27" t="str">
        <x:v>ACCESSORI GIARDINO</x:v>
      </x:c>
      <x:c r="H17" s="28"/>
      <x:c r="I17" s="28"/>
      <x:c r="J17" s="29" t="n">
        <x:v>22</x:v>
      </x:c>
      <x:c r="K17" s="27" t="str"/>
      <x:c r="L17" s="27" t="str"/>
      <x:c r="M17" s="27" t="str"/>
      <x:c r="N17" s="27" t="str">
        <x:v>BLACK+DECKER</x:v>
      </x:c>
      <x:c r="O17" s="27" t="str"/>
      <x:c r="P17" s="27" t="str">
        <x:v>Catalogo Black+Decker Lo Specialista 2026, pagina 86. Prezzi se presenti: raccomandati dal catalogo.</x:v>
      </x:c>
      <x:c r="Q17" s="30" t="str">
        <x:v>2026-06-10</x:v>
      </x:c>
      <x:c r="R17" s="27" t="n">
        <x:v>86</x:v>
      </x:c>
      <x:c r="S17" s="27" t="str">
        <x:v>B+D_CATALOGO Lo Specialista 2026.pdf</x:v>
      </x:c>
    </x:row>
    <x:row r="18">
      <x:c r="A18" s="27" t="str">
        <x:v>BD-0017</x:v>
      </x:c>
      <x:c r="B18" s="27" t="str">
        <x:v>5035048734070</x:v>
      </x:c>
      <x:c r="C18" s="27" t="str">
        <x:v>A6324-XJ</x:v>
      </x:c>
      <x:c r="D18" s="27" t="str">
        <x:v>Lama per rasaerba 32 cm</x:v>
      </x:c>
      <x:c r="E18" s="27" t="str">
        <x:v>BLACK+DECKER</x:v>
      </x:c>
      <x:c r="F18" s="27" t="str">
        <x:v>GAMMA GIARDINO</x:v>
      </x:c>
      <x:c r="G18" s="27" t="str">
        <x:v>ACCESSORI GIARDINO</x:v>
      </x:c>
      <x:c r="H18" s="28"/>
      <x:c r="I18" s="28"/>
      <x:c r="J18" s="29" t="n">
        <x:v>22</x:v>
      </x:c>
      <x:c r="K18" s="27" t="str"/>
      <x:c r="L18" s="27" t="str"/>
      <x:c r="M18" s="27" t="str"/>
      <x:c r="N18" s="27" t="str">
        <x:v>BLACK+DECKER</x:v>
      </x:c>
      <x:c r="O18" s="27" t="str"/>
      <x:c r="P18" s="27" t="str">
        <x:v>Catalogo Black+Decker Lo Specialista 2026, pagina 86. Prezzi se presenti: raccomandati dal catalogo.</x:v>
      </x:c>
      <x:c r="Q18" s="30" t="str">
        <x:v>2026-06-10</x:v>
      </x:c>
      <x:c r="R18" s="27" t="n">
        <x:v>86</x:v>
      </x:c>
      <x:c r="S18" s="27" t="str">
        <x:v>B+D_CATALOGO Lo Specialista 2026.pdf</x:v>
      </x:c>
    </x:row>
    <x:row r="19">
      <x:c r="A19" s="27" t="str">
        <x:v>BD-0018</x:v>
      </x:c>
      <x:c r="B19" s="27" t="str">
        <x:v>5054905337506</x:v>
      </x:c>
      <x:c r="C19" s="27" t="str">
        <x:v>A6328-XJ</x:v>
      </x:c>
      <x:c r="D19" s="27" t="str">
        <x:v>Lama per rasaerba 34 cm</x:v>
      </x:c>
      <x:c r="E19" s="27" t="str">
        <x:v>BLACK+DECKER</x:v>
      </x:c>
      <x:c r="F19" s="27" t="str">
        <x:v>GAMMA GIARDINO</x:v>
      </x:c>
      <x:c r="G19" s="27" t="str">
        <x:v>ACCESSORI GIARDINO</x:v>
      </x:c>
      <x:c r="H19" s="28"/>
      <x:c r="I19" s="28"/>
      <x:c r="J19" s="29" t="n">
        <x:v>22</x:v>
      </x:c>
      <x:c r="K19" s="27" t="str"/>
      <x:c r="L19" s="27" t="str"/>
      <x:c r="M19" s="27" t="str"/>
      <x:c r="N19" s="27" t="str">
        <x:v>BLACK+DECKER</x:v>
      </x:c>
      <x:c r="O19" s="27" t="str"/>
      <x:c r="P19" s="27" t="str">
        <x:v>Catalogo Black+Decker Lo Specialista 2026, pagina 86. Prezzi se presenti: raccomandati dal catalogo.</x:v>
      </x:c>
      <x:c r="Q19" s="30" t="str">
        <x:v>2026-06-10</x:v>
      </x:c>
      <x:c r="R19" s="27" t="n">
        <x:v>86</x:v>
      </x:c>
      <x:c r="S19" s="27" t="str">
        <x:v>B+D_CATALOGO Lo Specialista 2026.pdf</x:v>
      </x:c>
    </x:row>
    <x:row r="20">
      <x:c r="A20" s="27" t="str">
        <x:v>BD-0019</x:v>
      </x:c>
      <x:c r="B20" s="27" t="str">
        <x:v>5054905337513</x:v>
      </x:c>
      <x:c r="C20" s="27" t="str">
        <x:v>A6329-XJ</x:v>
      </x:c>
      <x:c r="D20" s="27" t="str">
        <x:v>Lama per rasaerba 40 cm</x:v>
      </x:c>
      <x:c r="E20" s="27" t="str">
        <x:v>BLACK+DECKER</x:v>
      </x:c>
      <x:c r="F20" s="27" t="str">
        <x:v>GAMMA GIARDINO</x:v>
      </x:c>
      <x:c r="G20" s="27" t="str">
        <x:v>ACCESSORI GIARDINO</x:v>
      </x:c>
      <x:c r="H20" s="28"/>
      <x:c r="I20" s="28"/>
      <x:c r="J20" s="29" t="n">
        <x:v>22</x:v>
      </x:c>
      <x:c r="K20" s="27" t="str"/>
      <x:c r="L20" s="27" t="str"/>
      <x:c r="M20" s="27" t="str"/>
      <x:c r="N20" s="27" t="str">
        <x:v>BLACK+DECKER</x:v>
      </x:c>
      <x:c r="O20" s="27" t="str"/>
      <x:c r="P20" s="27" t="str">
        <x:v>Catalogo Black+Decker Lo Specialista 2026, pagina 86. Prezzi se presenti: raccomandati dal catalogo.</x:v>
      </x:c>
      <x:c r="Q20" s="30" t="str">
        <x:v>2026-06-10</x:v>
      </x:c>
      <x:c r="R20" s="27" t="n">
        <x:v>86</x:v>
      </x:c>
      <x:c r="S20" s="27" t="str">
        <x:v>B+D_CATALOGO Lo Specialista 2026.pdf</x:v>
      </x:c>
    </x:row>
    <x:row r="21">
      <x:c r="A21" s="27" t="str">
        <x:v>BD-0020</x:v>
      </x:c>
      <x:c r="B21" s="27" t="str">
        <x:v>5054905337520</x:v>
      </x:c>
      <x:c r="C21" s="27" t="str">
        <x:v>A6330-XJ</x:v>
      </x:c>
      <x:c r="D21" s="27" t="str">
        <x:v>Rullo per scarificazione 30 cm</x:v>
      </x:c>
      <x:c r="E21" s="27" t="str">
        <x:v>BLACK+DECKER</x:v>
      </x:c>
      <x:c r="F21" s="27" t="str">
        <x:v>GAMMA GIARDINO</x:v>
      </x:c>
      <x:c r="G21" s="27" t="str">
        <x:v>ACCESSORI GIARDINO</x:v>
      </x:c>
      <x:c r="H21" s="28"/>
      <x:c r="I21" s="28"/>
      <x:c r="J21" s="29" t="n">
        <x:v>22</x:v>
      </x:c>
      <x:c r="K21" s="27" t="str"/>
      <x:c r="L21" s="27" t="str"/>
      <x:c r="M21" s="27" t="str"/>
      <x:c r="N21" s="27" t="str">
        <x:v>BLACK+DECKER</x:v>
      </x:c>
      <x:c r="O21" s="27" t="str"/>
      <x:c r="P21" s="27" t="str">
        <x:v>Catalogo Black+Decker Lo Specialista 2026, pagina 89. Prezzi se presenti: raccomandati dal catalogo.</x:v>
      </x:c>
      <x:c r="Q21" s="30" t="str">
        <x:v>2026-06-10</x:v>
      </x:c>
      <x:c r="R21" s="27" t="n">
        <x:v>89</x:v>
      </x:c>
      <x:c r="S21" s="27" t="str">
        <x:v>B+D_CATALOGO Lo Specialista 2026.pdf</x:v>
      </x:c>
    </x:row>
    <x:row r="22">
      <x:c r="A22" s="27" t="str">
        <x:v>BD-0021</x:v>
      </x:c>
      <x:c r="B22" s="27" t="str">
        <x:v>5054905337537</x:v>
      </x:c>
      <x:c r="C22" s="27" t="str">
        <x:v>A6331-XJ</x:v>
      </x:c>
      <x:c r="D22" s="27" t="str">
        <x:v>Rullo per areazione 30 cm</x:v>
      </x:c>
      <x:c r="E22" s="27" t="str">
        <x:v>BLACK+DECKER</x:v>
      </x:c>
      <x:c r="F22" s="27" t="str">
        <x:v>GAMMA GIARDINO</x:v>
      </x:c>
      <x:c r="G22" s="27" t="str">
        <x:v>ACCESSORI GIARDINO</x:v>
      </x:c>
      <x:c r="H22" s="28"/>
      <x:c r="I22" s="28"/>
      <x:c r="J22" s="29" t="n">
        <x:v>22</x:v>
      </x:c>
      <x:c r="K22" s="27" t="str"/>
      <x:c r="L22" s="27" t="str"/>
      <x:c r="M22" s="27" t="str"/>
      <x:c r="N22" s="27" t="str">
        <x:v>BLACK+DECKER</x:v>
      </x:c>
      <x:c r="O22" s="27" t="str"/>
      <x:c r="P22" s="27" t="str">
        <x:v>Catalogo Black+Decker Lo Specialista 2026, pagina 89. Prezzi se presenti: raccomandati dal catalogo.</x:v>
      </x:c>
      <x:c r="Q22" s="30" t="str">
        <x:v>2026-06-10</x:v>
      </x:c>
      <x:c r="R22" s="27" t="n">
        <x:v>89</x:v>
      </x:c>
      <x:c r="S22" s="27" t="str">
        <x:v>B+D_CATALOGO Lo Specialista 2026.pdf</x:v>
      </x:c>
    </x:row>
    <x:row r="23">
      <x:c r="A23" s="27" t="str">
        <x:v>BD-0022</x:v>
      </x:c>
      <x:c r="B23" s="27" t="str">
        <x:v>5035048009338</x:v>
      </x:c>
      <x:c r="C23" s="27" t="str">
        <x:v>A6440-XJ</x:v>
      </x:c>
      <x:c r="D23" s="27" t="str">
        <x:v>Filo nylon 25mt spessore 1.5 mm per modelli ad alimentazione REFLEX PLUS</x:v>
      </x:c>
      <x:c r="E23" s="27" t="str">
        <x:v>BLACK+DECKER</x:v>
      </x:c>
      <x:c r="F23" s="27" t="str">
        <x:v>GAMMA GIARDINO</x:v>
      </x:c>
      <x:c r="G23" s="27" t="str">
        <x:v>ACCESSORI GIARDINO</x:v>
      </x:c>
      <x:c r="H23" s="28"/>
      <x:c r="I23" s="28"/>
      <x:c r="J23" s="29" t="n">
        <x:v>22</x:v>
      </x:c>
      <x:c r="K23" s="27" t="str"/>
      <x:c r="L23" s="27" t="str"/>
      <x:c r="M23" s="27" t="str"/>
      <x:c r="N23" s="27" t="str">
        <x:v>BLACK+DECKER</x:v>
      </x:c>
      <x:c r="O23" s="27" t="str"/>
      <x:c r="P23" s="27" t="str">
        <x:v>Catalogo Black+Decker Lo Specialista 2026, pagina 97. Prezzi se presenti: raccomandati dal catalogo.</x:v>
      </x:c>
      <x:c r="Q23" s="30" t="str">
        <x:v>2026-06-10</x:v>
      </x:c>
      <x:c r="R23" s="27" t="n">
        <x:v>97</x:v>
      </x:c>
      <x:c r="S23" s="27" t="str">
        <x:v>B+D_CATALOGO Lo Specialista 2026.pdf</x:v>
      </x:c>
    </x:row>
    <x:row r="24">
      <x:c r="A24" s="27" t="str">
        <x:v>BD-0023</x:v>
      </x:c>
      <x:c r="B24" s="27" t="str">
        <x:v>5035048023235</x:v>
      </x:c>
      <x:c r="C24" s="27" t="str">
        <x:v>A6482-XJ</x:v>
      </x:c>
      <x:c r="D24" s="27" t="str">
        <x:v>Rocchetto e filo nylon 10 mt 2 mm</x:v>
      </x:c>
      <x:c r="E24" s="27" t="str">
        <x:v>BLACK+DECKER</x:v>
      </x:c>
      <x:c r="F24" s="27" t="str">
        <x:v>GAMMA GIARDINO</x:v>
      </x:c>
      <x:c r="G24" s="27" t="str">
        <x:v>ACCESSORI GIARDINO</x:v>
      </x:c>
      <x:c r="H24" s="28"/>
      <x:c r="I24" s="28"/>
      <x:c r="J24" s="29" t="n">
        <x:v>22</x:v>
      </x:c>
      <x:c r="K24" s="27" t="str"/>
      <x:c r="L24" s="27" t="str"/>
      <x:c r="M24" s="27" t="str"/>
      <x:c r="N24" s="27" t="str">
        <x:v>BLACK+DECKER</x:v>
      </x:c>
      <x:c r="O24" s="27" t="str"/>
      <x:c r="P24" s="27" t="str">
        <x:v>Catalogo Black+Decker Lo Specialista 2026, pagina 97. Prezzi se presenti: raccomandati dal catalogo.</x:v>
      </x:c>
      <x:c r="Q24" s="30" t="str">
        <x:v>2026-06-10</x:v>
      </x:c>
      <x:c r="R24" s="27" t="n">
        <x:v>97</x:v>
      </x:c>
      <x:c r="S24" s="27" t="str">
        <x:v>B+D_CATALOGO Lo Specialista 2026.pdf</x:v>
      </x:c>
    </x:row>
    <x:row r="25">
      <x:c r="A25" s="27" t="str">
        <x:v>BD-0024</x:v>
      </x:c>
      <x:c r="B25" s="27" t="str">
        <x:v>5035048010402</x:v>
      </x:c>
      <x:c r="C25" s="27" t="str">
        <x:v>A6487-XJ</x:v>
      </x:c>
      <x:c r="D25" s="27" t="str">
        <x:v>10 unità di filo HDL 3.0 mm</x:v>
      </x:c>
      <x:c r="E25" s="27" t="str">
        <x:v>BLACK+DECKER</x:v>
      </x:c>
      <x:c r="F25" s="27" t="str">
        <x:v>GAMMA GIARDINO</x:v>
      </x:c>
      <x:c r="G25" s="27" t="str">
        <x:v>ACCESSORI GIARDINO</x:v>
      </x:c>
      <x:c r="H25" s="28"/>
      <x:c r="I25" s="28"/>
      <x:c r="J25" s="29" t="n">
        <x:v>22</x:v>
      </x:c>
      <x:c r="K25" s="27" t="str"/>
      <x:c r="L25" s="27" t="str"/>
      <x:c r="M25" s="27" t="str"/>
      <x:c r="N25" s="27" t="str">
        <x:v>BLACK+DECKER</x:v>
      </x:c>
      <x:c r="O25" s="27" t="str"/>
      <x:c r="P25" s="27" t="str">
        <x:v>Catalogo Black+Decker Lo Specialista 2026, pagina 97. Prezzi se presenti: raccomandati dal catalogo.</x:v>
      </x:c>
      <x:c r="Q25" s="30" t="str">
        <x:v>2026-06-10</x:v>
      </x:c>
      <x:c r="R25" s="27" t="n">
        <x:v>97</x:v>
      </x:c>
      <x:c r="S25" s="27" t="str">
        <x:v>B+D_CATALOGO Lo Specialista 2026.pdf</x:v>
      </x:c>
    </x:row>
    <x:row r="26">
      <x:c r="A26" s="27" t="str">
        <x:v>BD-0025</x:v>
      </x:c>
      <x:c r="B26" s="27" t="str">
        <x:v>5035048023228</x:v>
      </x:c>
      <x:c r="C26" s="27" t="str">
        <x:v>A6489-XJ</x:v>
      </x:c>
      <x:c r="D26" s="27" t="str">
        <x:v>10 unità di filo HDL 2.5 mm</x:v>
      </x:c>
      <x:c r="E26" s="27" t="str">
        <x:v>BLACK+DECKER</x:v>
      </x:c>
      <x:c r="F26" s="27" t="str">
        <x:v>GAMMA GIARDINO</x:v>
      </x:c>
      <x:c r="G26" s="27" t="str">
        <x:v>ACCESSORI GIARDINO</x:v>
      </x:c>
      <x:c r="H26" s="28"/>
      <x:c r="I26" s="28"/>
      <x:c r="J26" s="29" t="n">
        <x:v>22</x:v>
      </x:c>
      <x:c r="K26" s="27" t="str"/>
      <x:c r="L26" s="27" t="str"/>
      <x:c r="M26" s="27" t="str"/>
      <x:c r="N26" s="27" t="str">
        <x:v>BLACK+DECKER</x:v>
      </x:c>
      <x:c r="O26" s="27" t="str"/>
      <x:c r="P26" s="27" t="str">
        <x:v>Catalogo Black+Decker Lo Specialista 2026, pagina 97. Prezzi se presenti: raccomandati dal catalogo.</x:v>
      </x:c>
      <x:c r="Q26" s="30" t="str">
        <x:v>2026-06-10</x:v>
      </x:c>
      <x:c r="R26" s="27" t="n">
        <x:v>97</x:v>
      </x:c>
      <x:c r="S26" s="27" t="str">
        <x:v>B+D_CATALOGO Lo Specialista 2026.pdf</x:v>
      </x:c>
    </x:row>
    <x:row r="27">
      <x:c r="A27" s="27" t="str">
        <x:v>BD-0026</x:v>
      </x:c>
      <x:c r="B27" s="27" t="str">
        <x:v>5035048736142</x:v>
      </x:c>
      <x:c r="C27" s="27" t="str">
        <x:v>A6502-XJ</x:v>
      </x:c>
      <x:c r="D27" s="27" t="str">
        <x:v>Tappo rocchetto GL HPP</x:v>
      </x:c>
      <x:c r="E27" s="27" t="str">
        <x:v>BLACK+DECKER</x:v>
      </x:c>
      <x:c r="F27" s="27" t="str">
        <x:v>GAMMA GIARDINO</x:v>
      </x:c>
      <x:c r="G27" s="27" t="str">
        <x:v>ACCESSORI GIARDINO</x:v>
      </x:c>
      <x:c r="H27" s="28"/>
      <x:c r="I27" s="28"/>
      <x:c r="J27" s="29" t="n">
        <x:v>22</x:v>
      </x:c>
      <x:c r="K27" s="27" t="str"/>
      <x:c r="L27" s="27" t="str"/>
      <x:c r="M27" s="27" t="str"/>
      <x:c r="N27" s="27" t="str">
        <x:v>BLACK+DECKER</x:v>
      </x:c>
      <x:c r="O27" s="27" t="str"/>
      <x:c r="P27" s="27" t="str">
        <x:v>Catalogo Black+Decker Lo Specialista 2026, pagina 97. Prezzi se presenti: raccomandati dal catalogo.</x:v>
      </x:c>
      <x:c r="Q27" s="30" t="str">
        <x:v>2026-06-10</x:v>
      </x:c>
      <x:c r="R27" s="27" t="n">
        <x:v>97</x:v>
      </x:c>
      <x:c r="S27" s="27" t="str">
        <x:v>B+D_CATALOGO Lo Specialista 2026.pdf</x:v>
      </x:c>
    </x:row>
    <x:row r="28">
      <x:c r="A28" s="27" t="str">
        <x:v>BD-0027</x:v>
      </x:c>
      <x:c r="B28" s="27" t="str">
        <x:v>5035048736210</x:v>
      </x:c>
      <x:c r="C28" s="27" t="str">
        <x:v>A6504-XJ</x:v>
      </x:c>
      <x:c r="D28" s="27" t="str">
        <x:v>Tappo rocchetto AFS</x:v>
      </x:c>
      <x:c r="E28" s="27" t="str">
        <x:v>BLACK+DECKER</x:v>
      </x:c>
      <x:c r="F28" s="27" t="str">
        <x:v>GAMMA GIARDINO</x:v>
      </x:c>
      <x:c r="G28" s="27" t="str">
        <x:v>ACCESSORI GIARDINO</x:v>
      </x:c>
      <x:c r="H28" s="28"/>
      <x:c r="I28" s="28"/>
      <x:c r="J28" s="29" t="n">
        <x:v>22</x:v>
      </x:c>
      <x:c r="K28" s="27" t="str"/>
      <x:c r="L28" s="27" t="str"/>
      <x:c r="M28" s="27" t="str"/>
      <x:c r="N28" s="27" t="str">
        <x:v>BLACK+DECKER</x:v>
      </x:c>
      <x:c r="O28" s="27" t="str"/>
      <x:c r="P28" s="27" t="str">
        <x:v>Catalogo Black+Decker Lo Specialista 2026, pagina 97. Prezzi se presenti: raccomandati dal catalogo.</x:v>
      </x:c>
      <x:c r="Q28" s="30" t="str">
        <x:v>2026-06-10</x:v>
      </x:c>
      <x:c r="R28" s="27" t="n">
        <x:v>97</x:v>
      </x:c>
      <x:c r="S28" s="27" t="str">
        <x:v>B+D_CATALOGO Lo Specialista 2026.pdf</x:v>
      </x:c>
    </x:row>
    <x:row r="29">
      <x:c r="A29" s="27" t="str">
        <x:v>BD-0028</x:v>
      </x:c>
      <x:c r="B29" s="27" t="str">
        <x:v>5035048736227</x:v>
      </x:c>
      <x:c r="C29" s="27" t="str">
        <x:v>A6505-XJ</x:v>
      </x:c>
      <x:c r="D29" s="27" t="str">
        <x:v>Tappo rocchetto PC</x:v>
      </x:c>
      <x:c r="E29" s="27" t="str">
        <x:v>BLACK+DECKER</x:v>
      </x:c>
      <x:c r="F29" s="27" t="str">
        <x:v>GAMMA GIARDINO</x:v>
      </x:c>
      <x:c r="G29" s="27" t="str">
        <x:v>ACCESSORI GIARDINO</x:v>
      </x:c>
      <x:c r="H29" s="28"/>
      <x:c r="I29" s="28"/>
      <x:c r="J29" s="29" t="n">
        <x:v>22</x:v>
      </x:c>
      <x:c r="K29" s="27" t="str"/>
      <x:c r="L29" s="27" t="str"/>
      <x:c r="M29" s="27" t="str"/>
      <x:c r="N29" s="27" t="str">
        <x:v>BLACK+DECKER</x:v>
      </x:c>
      <x:c r="O29" s="27" t="str"/>
      <x:c r="P29" s="27" t="str">
        <x:v>Catalogo Black+Decker Lo Specialista 2026, pagina 97. Prezzi se presenti: raccomandati dal catalogo.</x:v>
      </x:c>
      <x:c r="Q29" s="30" t="str">
        <x:v>2026-06-10</x:v>
      </x:c>
      <x:c r="R29" s="27" t="n">
        <x:v>97</x:v>
      </x:c>
      <x:c r="S29" s="27" t="str">
        <x:v>B+D_CATALOGO Lo Specialista 2026.pdf</x:v>
      </x:c>
    </x:row>
    <x:row r="30">
      <x:c r="A30" s="27" t="str">
        <x:v>BD-0029</x:v>
      </x:c>
      <x:c r="B30" s="27" t="str">
        <x:v>5035048009000</x:v>
      </x:c>
      <x:c r="C30" s="27" t="str">
        <x:v>A7039-XJ</x:v>
      </x:c>
      <x:c r="D30" s="27" t="str">
        <x:v>Giftset Accessori - Set cricchetto 45 pezzi</x:v>
      </x:c>
      <x:c r="E30" s="27" t="str">
        <x:v>BLACK+DECKER</x:v>
      </x:c>
      <x:c r="F30" s="27" t="str">
        <x:v>ELETTROUTENSILI</x:v>
      </x:c>
      <x:c r="G30" s="27" t="str">
        <x:v>GIFTSET ACCESSORI</x:v>
      </x:c>
      <x:c r="H30" s="28"/>
      <x:c r="I30" s="28"/>
      <x:c r="J30" s="29" t="n">
        <x:v>22</x:v>
      </x:c>
      <x:c r="K30" s="27" t="str"/>
      <x:c r="L30" s="27" t="str"/>
      <x:c r="M30" s="27" t="str"/>
      <x:c r="N30" s="27" t="str">
        <x:v>BLACK+DECKER</x:v>
      </x:c>
      <x:c r="O30" s="27" t="str"/>
      <x:c r="P30" s="27" t="str">
        <x:v>Catalogo Black+Decker Lo Specialista 2026, pagina 73. Prezzi se presenti: raccomandati dal catalogo.</x:v>
      </x:c>
      <x:c r="Q30" s="30" t="str">
        <x:v>2026-06-10</x:v>
      </x:c>
      <x:c r="R30" s="27" t="n">
        <x:v>73</x:v>
      </x:c>
      <x:c r="S30" s="27" t="str">
        <x:v>B+D_CATALOGO Lo Specialista 2026.pdf</x:v>
      </x:c>
    </x:row>
    <x:row r="31">
      <x:c r="A31" s="27" t="str">
        <x:v>BD-0030</x:v>
      </x:c>
      <x:c r="B31" s="27" t="str">
        <x:v>5035048010341</x:v>
      </x:c>
      <x:c r="C31" s="27" t="str">
        <x:v>A7062-XJ</x:v>
      </x:c>
      <x:c r="D31" s="27" t="str">
        <x:v>Giftset Accessori - Set cricchetto 40 pezzi</x:v>
      </x:c>
      <x:c r="E31" s="27" t="str">
        <x:v>BLACK+DECKER</x:v>
      </x:c>
      <x:c r="F31" s="27" t="str">
        <x:v>ELETTROUTENSILI</x:v>
      </x:c>
      <x:c r="G31" s="27" t="str">
        <x:v>GIFTSET ACCESSORI</x:v>
      </x:c>
      <x:c r="H31" s="28"/>
      <x:c r="I31" s="28"/>
      <x:c r="J31" s="29" t="n">
        <x:v>22</x:v>
      </x:c>
      <x:c r="K31" s="27" t="str"/>
      <x:c r="L31" s="27" t="str"/>
      <x:c r="M31" s="27" t="str"/>
      <x:c r="N31" s="27" t="str">
        <x:v>BLACK+DECKER</x:v>
      </x:c>
      <x:c r="O31" s="27" t="str"/>
      <x:c r="P31" s="27" t="str">
        <x:v>Catalogo Black+Decker Lo Specialista 2026, pagina 73. Prezzi se presenti: raccomandati dal catalogo.</x:v>
      </x:c>
      <x:c r="Q31" s="30" t="str">
        <x:v>2026-06-10</x:v>
      </x:c>
      <x:c r="R31" s="27" t="n">
        <x:v>73</x:v>
      </x:c>
      <x:c r="S31" s="27" t="str">
        <x:v>B+D_CATALOGO Lo Specialista 2026.pdf</x:v>
      </x:c>
    </x:row>
    <x:row r="32">
      <x:c r="A32" s="27" t="str">
        <x:v>BD-0031</x:v>
      </x:c>
      <x:c r="B32" s="27" t="str">
        <x:v>5035048010396</x:v>
      </x:c>
      <x:c r="C32" s="27" t="str">
        <x:v>A7073-XJ</x:v>
      </x:c>
      <x:c r="D32" s="27" t="str">
        <x:v>Giftset Accessori - Set alcaline</x:v>
      </x:c>
      <x:c r="E32" s="27" t="str">
        <x:v>BLACK+DECKER</x:v>
      </x:c>
      <x:c r="F32" s="27" t="str">
        <x:v>ELETTROUTENSILI</x:v>
      </x:c>
      <x:c r="G32" s="27" t="str">
        <x:v>GIFTSET ACCESSORI</x:v>
      </x:c>
      <x:c r="H32" s="28"/>
      <x:c r="I32" s="28"/>
      <x:c r="J32" s="29" t="n">
        <x:v>22</x:v>
      </x:c>
      <x:c r="K32" s="27" t="str"/>
      <x:c r="L32" s="27" t="str"/>
      <x:c r="M32" s="27" t="str"/>
      <x:c r="N32" s="27" t="str">
        <x:v>BLACK+DECKER</x:v>
      </x:c>
      <x:c r="O32" s="27" t="str"/>
      <x:c r="P32" s="27" t="str">
        <x:v>Catalogo Black+Decker Lo Specialista 2026, pagina 74. Prezzi se presenti: raccomandati dal catalogo.</x:v>
      </x:c>
      <x:c r="Q32" s="30" t="str">
        <x:v>2026-06-10</x:v>
      </x:c>
      <x:c r="R32" s="27" t="n">
        <x:v>74</x:v>
      </x:c>
      <x:c r="S32" s="27" t="str">
        <x:v>B+D_CATALOGO Lo Specialista 2026.pdf</x:v>
      </x:c>
    </x:row>
    <x:row r="33">
      <x:c r="A33" s="27" t="str">
        <x:v>BD-0032</x:v>
      </x:c>
      <x:c r="B33" s="27" t="str">
        <x:v>5035048010624</x:v>
      </x:c>
      <x:c r="C33" s="27" t="str">
        <x:v>A7104-XJ</x:v>
      </x:c>
      <x:c r="D33" s="27" t="str">
        <x:v>Giftset Accessori - Set cricchetto 56 pezzi</x:v>
      </x:c>
      <x:c r="E33" s="27" t="str">
        <x:v>BLACK+DECKER</x:v>
      </x:c>
      <x:c r="F33" s="27" t="str">
        <x:v>ELETTROUTENSILI</x:v>
      </x:c>
      <x:c r="G33" s="27" t="str">
        <x:v>GIFTSET ACCESSORI</x:v>
      </x:c>
      <x:c r="H33" s="28"/>
      <x:c r="I33" s="28"/>
      <x:c r="J33" s="29" t="n">
        <x:v>22</x:v>
      </x:c>
      <x:c r="K33" s="27" t="str"/>
      <x:c r="L33" s="27" t="str"/>
      <x:c r="M33" s="27" t="str"/>
      <x:c r="N33" s="27" t="str">
        <x:v>BLACK+DECKER</x:v>
      </x:c>
      <x:c r="O33" s="27" t="str"/>
      <x:c r="P33" s="27" t="str">
        <x:v>Catalogo Black+Decker Lo Specialista 2026, pagina 73. Prezzi se presenti: raccomandati dal catalogo.</x:v>
      </x:c>
      <x:c r="Q33" s="30" t="str">
        <x:v>2026-06-10</x:v>
      </x:c>
      <x:c r="R33" s="27" t="n">
        <x:v>73</x:v>
      </x:c>
      <x:c r="S33" s="27" t="str">
        <x:v>B+D_CATALOGO Lo Specialista 2026.pdf</x:v>
      </x:c>
    </x:row>
    <x:row r="34">
      <x:c r="A34" s="27" t="str">
        <x:v>BD-0033</x:v>
      </x:c>
      <x:c r="B34" s="27" t="str">
        <x:v>5035048010822</x:v>
      </x:c>
      <x:c r="C34" s="27" t="str">
        <x:v>A7142-XJ</x:v>
      </x:c>
      <x:c r="D34" s="27" t="str">
        <x:v>Giftset Accessori - Set cricchetto + bussole 33 pezzi</x:v>
      </x:c>
      <x:c r="E34" s="27" t="str">
        <x:v>BLACK+DECKER</x:v>
      </x:c>
      <x:c r="F34" s="27" t="str">
        <x:v>ELETTROUTENSILI</x:v>
      </x:c>
      <x:c r="G34" s="27" t="str">
        <x:v>GIFTSET ACCESSORI</x:v>
      </x:c>
      <x:c r="H34" s="28"/>
      <x:c r="I34" s="28"/>
      <x:c r="J34" s="29" t="n">
        <x:v>22</x:v>
      </x:c>
      <x:c r="K34" s="27" t="str"/>
      <x:c r="L34" s="27" t="str"/>
      <x:c r="M34" s="27" t="str"/>
      <x:c r="N34" s="27" t="str">
        <x:v>BLACK+DECKER</x:v>
      </x:c>
      <x:c r="O34" s="27" t="str"/>
      <x:c r="P34" s="27" t="str">
        <x:v>Catalogo Black+Decker Lo Specialista 2026, pagina 73. Prezzi se presenti: raccomandati dal catalogo.</x:v>
      </x:c>
      <x:c r="Q34" s="30" t="str">
        <x:v>2026-06-10</x:v>
      </x:c>
      <x:c r="R34" s="27" t="n">
        <x:v>73</x:v>
      </x:c>
      <x:c r="S34" s="27" t="str">
        <x:v>B+D_CATALOGO Lo Specialista 2026.pdf</x:v>
      </x:c>
    </x:row>
    <x:row r="35">
      <x:c r="A35" s="27" t="str">
        <x:v>BD-0034</x:v>
      </x:c>
      <x:c r="B35" s="27" t="str">
        <x:v>5035048022610</x:v>
      </x:c>
      <x:c r="C35" s="27" t="str">
        <x:v>A7186-XJ</x:v>
      </x:c>
      <x:c r="D35" s="27" t="str">
        <x:v>Giftset Accessori - Set 16 pezzi</x:v>
      </x:c>
      <x:c r="E35" s="27" t="str">
        <x:v>BLACK+DECKER</x:v>
      </x:c>
      <x:c r="F35" s="27" t="str">
        <x:v>ELETTROUTENSILI</x:v>
      </x:c>
      <x:c r="G35" s="27" t="str">
        <x:v>GIFTSET ACCESSORI</x:v>
      </x:c>
      <x:c r="H35" s="28"/>
      <x:c r="I35" s="28"/>
      <x:c r="J35" s="29" t="n">
        <x:v>22</x:v>
      </x:c>
      <x:c r="K35" s="27" t="str"/>
      <x:c r="L35" s="27" t="str"/>
      <x:c r="M35" s="27" t="str"/>
      <x:c r="N35" s="27" t="str">
        <x:v>BLACK+DECKER</x:v>
      </x:c>
      <x:c r="O35" s="27" t="str"/>
      <x:c r="P35" s="27" t="str">
        <x:v>Catalogo Black+Decker Lo Specialista 2026, pagina 73. Prezzi se presenti: raccomandati dal catalogo.</x:v>
      </x:c>
      <x:c r="Q35" s="30" t="str">
        <x:v>2026-06-10</x:v>
      </x:c>
      <x:c r="R35" s="27" t="n">
        <x:v>73</x:v>
      </x:c>
      <x:c r="S35" s="27" t="str">
        <x:v>B+D_CATALOGO Lo Specialista 2026.pdf</x:v>
      </x:c>
    </x:row>
    <x:row r="36">
      <x:c r="A36" s="27" t="str">
        <x:v>BD-0035</x:v>
      </x:c>
      <x:c r="B36" s="27" t="str">
        <x:v>5035048022634</x:v>
      </x:c>
      <x:c r="C36" s="27" t="str">
        <x:v>A7188-XJ</x:v>
      </x:c>
      <x:c r="D36" s="27" t="str">
        <x:v>Giftset Accessori - Set 50 pezzi</x:v>
      </x:c>
      <x:c r="E36" s="27" t="str">
        <x:v>BLACK+DECKER</x:v>
      </x:c>
      <x:c r="F36" s="27" t="str">
        <x:v>ELETTROUTENSILI</x:v>
      </x:c>
      <x:c r="G36" s="27" t="str">
        <x:v>GIFTSET ACCESSORI</x:v>
      </x:c>
      <x:c r="H36" s="28"/>
      <x:c r="I36" s="28"/>
      <x:c r="J36" s="29" t="n">
        <x:v>22</x:v>
      </x:c>
      <x:c r="K36" s="27" t="str"/>
      <x:c r="L36" s="27" t="str"/>
      <x:c r="M36" s="27" t="str"/>
      <x:c r="N36" s="27" t="str">
        <x:v>BLACK+DECKER</x:v>
      </x:c>
      <x:c r="O36" s="27" t="str"/>
      <x:c r="P36" s="27" t="str">
        <x:v>Catalogo Black+Decker Lo Specialista 2026, pagina 74. Prezzi se presenti: raccomandati dal catalogo.</x:v>
      </x:c>
      <x:c r="Q36" s="30" t="str">
        <x:v>2026-06-10</x:v>
      </x:c>
      <x:c r="R36" s="27" t="n">
        <x:v>74</x:v>
      </x:c>
      <x:c r="S36" s="27" t="str">
        <x:v>B+D_CATALOGO Lo Specialista 2026.pdf</x:v>
      </x:c>
    </x:row>
    <x:row r="37">
      <x:c r="A37" s="27" t="str">
        <x:v>BD-0036</x:v>
      </x:c>
      <x:c r="B37" s="27" t="str">
        <x:v>5035048087275</x:v>
      </x:c>
      <x:c r="C37" s="27" t="str">
        <x:v>A7200-XJ</x:v>
      </x:c>
      <x:c r="D37" s="27" t="str">
        <x:v>Giftset Accessori - Set 109 pezzi</x:v>
      </x:c>
      <x:c r="E37" s="27" t="str">
        <x:v>BLACK+DECKER</x:v>
      </x:c>
      <x:c r="F37" s="27" t="str">
        <x:v>ELETTROUTENSILI</x:v>
      </x:c>
      <x:c r="G37" s="27" t="str">
        <x:v>GIFTSET ACCESSORI</x:v>
      </x:c>
      <x:c r="H37" s="28"/>
      <x:c r="I37" s="28"/>
      <x:c r="J37" s="29" t="n">
        <x:v>22</x:v>
      </x:c>
      <x:c r="K37" s="27" t="str"/>
      <x:c r="L37" s="27" t="str"/>
      <x:c r="M37" s="27" t="str"/>
      <x:c r="N37" s="27" t="str">
        <x:v>BLACK+DECKER</x:v>
      </x:c>
      <x:c r="O37" s="27" t="str"/>
      <x:c r="P37" s="27" t="str">
        <x:v>Catalogo Black+Decker Lo Specialista 2026, pagina 74. Prezzi se presenti: raccomandati dal catalogo.</x:v>
      </x:c>
      <x:c r="Q37" s="30" t="str">
        <x:v>2026-06-10</x:v>
      </x:c>
      <x:c r="R37" s="27" t="n">
        <x:v>74</x:v>
      </x:c>
      <x:c r="S37" s="27" t="str">
        <x:v>B+D_CATALOGO Lo Specialista 2026.pdf</x:v>
      </x:c>
    </x:row>
    <x:row r="38">
      <x:c r="A38" s="27" t="str">
        <x:v>BD-0037</x:v>
      </x:c>
      <x:c r="B38" s="27" t="str">
        <x:v>5035048087299</x:v>
      </x:c>
      <x:c r="C38" s="27" t="str">
        <x:v>A7202-XJ</x:v>
      </x:c>
      <x:c r="D38" s="27" t="str">
        <x:v>Giftset Accessori - Set 38 pezzi inserti lunghi</x:v>
      </x:c>
      <x:c r="E38" s="27" t="str">
        <x:v>BLACK+DECKER</x:v>
      </x:c>
      <x:c r="F38" s="27" t="str">
        <x:v>ELETTROUTENSILI</x:v>
      </x:c>
      <x:c r="G38" s="27" t="str">
        <x:v>GIFTSET ACCESSORI</x:v>
      </x:c>
      <x:c r="H38" s="28"/>
      <x:c r="I38" s="28"/>
      <x:c r="J38" s="29" t="n">
        <x:v>22</x:v>
      </x:c>
      <x:c r="K38" s="27" t="str"/>
      <x:c r="L38" s="27" t="str"/>
      <x:c r="M38" s="27" t="str"/>
      <x:c r="N38" s="27" t="str">
        <x:v>BLACK+DECKER</x:v>
      </x:c>
      <x:c r="O38" s="27" t="str"/>
      <x:c r="P38" s="27" t="str">
        <x:v>Catalogo Black+Decker Lo Specialista 2026, pagina 72. Prezzi se presenti: raccomandati dal catalogo.</x:v>
      </x:c>
      <x:c r="Q38" s="30" t="str">
        <x:v>2026-06-10</x:v>
      </x:c>
      <x:c r="R38" s="27" t="n">
        <x:v>72</x:v>
      </x:c>
      <x:c r="S38" s="27" t="str">
        <x:v>B+D_CATALOGO Lo Specialista 2026.pdf</x:v>
      </x:c>
    </x:row>
    <x:row r="39">
      <x:c r="A39" s="27" t="str">
        <x:v>BD-0038</x:v>
      </x:c>
      <x:c r="B39" s="27" t="str">
        <x:v>5035048024478</x:v>
      </x:c>
      <x:c r="C39" s="27" t="str">
        <x:v>A7216-XJ</x:v>
      </x:c>
      <x:c r="D39" s="27" t="str">
        <x:v>Giftset Accessori - Set 32 pezzi</x:v>
      </x:c>
      <x:c r="E39" s="27" t="str">
        <x:v>BLACK+DECKER</x:v>
      </x:c>
      <x:c r="F39" s="27" t="str">
        <x:v>ELETTROUTENSILI</x:v>
      </x:c>
      <x:c r="G39" s="27" t="str">
        <x:v>GIFTSET ACCESSORI</x:v>
      </x:c>
      <x:c r="H39" s="28"/>
      <x:c r="I39" s="28"/>
      <x:c r="J39" s="29" t="n">
        <x:v>22</x:v>
      </x:c>
      <x:c r="K39" s="27" t="str"/>
      <x:c r="L39" s="27" t="str"/>
      <x:c r="M39" s="27" t="str"/>
      <x:c r="N39" s="27" t="str">
        <x:v>BLACK+DECKER</x:v>
      </x:c>
      <x:c r="O39" s="27" t="str"/>
      <x:c r="P39" s="27" t="str">
        <x:v>Catalogo Black+Decker Lo Specialista 2026, pagina 73. Prezzi se presenti: raccomandati dal catalogo.</x:v>
      </x:c>
      <x:c r="Q39" s="30" t="str">
        <x:v>2026-06-10</x:v>
      </x:c>
      <x:c r="R39" s="27" t="n">
        <x:v>73</x:v>
      </x:c>
      <x:c r="S39" s="27" t="str">
        <x:v>B+D_CATALOGO Lo Specialista 2026.pdf</x:v>
      </x:c>
    </x:row>
    <x:row r="40">
      <x:c r="A40" s="27" t="str">
        <x:v>BD-0039</x:v>
      </x:c>
      <x:c r="B40" s="27" t="str">
        <x:v>5035048661642</x:v>
      </x:c>
      <x:c r="C40" s="27" t="str">
        <x:v>A7228-XJ</x:v>
      </x:c>
      <x:c r="D40" s="27" t="str">
        <x:v>Giftset Accessori - Set 31 pezzi</x:v>
      </x:c>
      <x:c r="E40" s="27" t="str">
        <x:v>BLACK+DECKER</x:v>
      </x:c>
      <x:c r="F40" s="27" t="str">
        <x:v>ELETTROUTENSILI</x:v>
      </x:c>
      <x:c r="G40" s="27" t="str">
        <x:v>GIFTSET ACCESSORI</x:v>
      </x:c>
      <x:c r="H40" s="28"/>
      <x:c r="I40" s="28"/>
      <x:c r="J40" s="29" t="n">
        <x:v>22</x:v>
      </x:c>
      <x:c r="K40" s="27" t="str"/>
      <x:c r="L40" s="27" t="str"/>
      <x:c r="M40" s="27" t="str"/>
      <x:c r="N40" s="27" t="str">
        <x:v>BLACK+DECKER</x:v>
      </x:c>
      <x:c r="O40" s="27" t="str"/>
      <x:c r="P40" s="27" t="str">
        <x:v>Catalogo Black+Decker Lo Specialista 2026, pagina 72. Prezzi se presenti: raccomandati dal catalogo.</x:v>
      </x:c>
      <x:c r="Q40" s="30" t="str">
        <x:v>2026-06-10</x:v>
      </x:c>
      <x:c r="R40" s="27" t="n">
        <x:v>72</x:v>
      </x:c>
      <x:c r="S40" s="27" t="str">
        <x:v>B+D_CATALOGO Lo Specialista 2026.pdf</x:v>
      </x:c>
    </x:row>
    <x:row r="41">
      <x:c r="A41" s="27" t="str">
        <x:v>BD-0040</x:v>
      </x:c>
      <x:c r="B41" s="27" t="str">
        <x:v>5035048540985</x:v>
      </x:c>
      <x:c r="C41" s="27" t="str">
        <x:v>A7230-XJ</x:v>
      </x:c>
      <x:c r="D41" s="27" t="str">
        <x:v>Giftset Accessori - Set 104 pezzi</x:v>
      </x:c>
      <x:c r="E41" s="27" t="str">
        <x:v>BLACK+DECKER</x:v>
      </x:c>
      <x:c r="F41" s="27" t="str">
        <x:v>ELETTROUTENSILI</x:v>
      </x:c>
      <x:c r="G41" s="27" t="str">
        <x:v>GIFTSET ACCESSORI</x:v>
      </x:c>
      <x:c r="H41" s="28"/>
      <x:c r="I41" s="28"/>
      <x:c r="J41" s="29" t="n">
        <x:v>22</x:v>
      </x:c>
      <x:c r="K41" s="27" t="str"/>
      <x:c r="L41" s="27" t="str"/>
      <x:c r="M41" s="27" t="str"/>
      <x:c r="N41" s="27" t="str">
        <x:v>BLACK+DECKER</x:v>
      </x:c>
      <x:c r="O41" s="27" t="str"/>
      <x:c r="P41" s="27" t="str">
        <x:v>Catalogo Black+Decker Lo Specialista 2026, pagina 74. Prezzi se presenti: raccomandati dal catalogo.</x:v>
      </x:c>
      <x:c r="Q41" s="30" t="str">
        <x:v>2026-06-10</x:v>
      </x:c>
      <x:c r="R41" s="27" t="n">
        <x:v>74</x:v>
      </x:c>
      <x:c r="S41" s="27" t="str">
        <x:v>B+D_CATALOGO Lo Specialista 2026.pdf</x:v>
      </x:c>
    </x:row>
    <x:row r="42">
      <x:c r="A42" s="27" t="str">
        <x:v>BD-0041</x:v>
      </x:c>
      <x:c r="B42" s="27" t="str">
        <x:v>5035048541005</x:v>
      </x:c>
      <x:c r="C42" s="27" t="str">
        <x:v>A7232-XJ</x:v>
      </x:c>
      <x:c r="D42" s="27" t="str">
        <x:v>Giftset Accessori - Set 50 pezzi</x:v>
      </x:c>
      <x:c r="E42" s="27" t="str">
        <x:v>BLACK+DECKER</x:v>
      </x:c>
      <x:c r="F42" s="27" t="str">
        <x:v>ELETTROUTENSILI</x:v>
      </x:c>
      <x:c r="G42" s="27" t="str">
        <x:v>GIFTSET ACCESSORI</x:v>
      </x:c>
      <x:c r="H42" s="28"/>
      <x:c r="I42" s="28"/>
      <x:c r="J42" s="29" t="n">
        <x:v>22</x:v>
      </x:c>
      <x:c r="K42" s="27" t="str"/>
      <x:c r="L42" s="27" t="str"/>
      <x:c r="M42" s="27" t="str"/>
      <x:c r="N42" s="27" t="str">
        <x:v>BLACK+DECKER</x:v>
      </x:c>
      <x:c r="O42" s="27" t="str"/>
      <x:c r="P42" s="27" t="str">
        <x:v>Catalogo Black+Decker Lo Specialista 2026, pagina 74. Prezzi se presenti: raccomandati dal catalogo.</x:v>
      </x:c>
      <x:c r="Q42" s="30" t="str">
        <x:v>2026-06-10</x:v>
      </x:c>
      <x:c r="R42" s="27" t="n">
        <x:v>74</x:v>
      </x:c>
      <x:c r="S42" s="27" t="str">
        <x:v>B+D_CATALOGO Lo Specialista 2026.pdf</x:v>
      </x:c>
    </x:row>
    <x:row r="43">
      <x:c r="A43" s="27" t="str">
        <x:v>BD-0042</x:v>
      </x:c>
      <x:c r="B43" s="27" t="str">
        <x:v>5035048541012</x:v>
      </x:c>
      <x:c r="C43" s="27" t="str">
        <x:v>A7233-XJ</x:v>
      </x:c>
      <x:c r="D43" s="27" t="str">
        <x:v>Giftset Accessori - Set 31 pezzi</x:v>
      </x:c>
      <x:c r="E43" s="27" t="str">
        <x:v>BLACK+DECKER</x:v>
      </x:c>
      <x:c r="F43" s="27" t="str">
        <x:v>ELETTROUTENSILI</x:v>
      </x:c>
      <x:c r="G43" s="27" t="str">
        <x:v>GIFTSET ACCESSORI</x:v>
      </x:c>
      <x:c r="H43" s="28"/>
      <x:c r="I43" s="28"/>
      <x:c r="J43" s="29" t="n">
        <x:v>22</x:v>
      </x:c>
      <x:c r="K43" s="27" t="str"/>
      <x:c r="L43" s="27" t="str"/>
      <x:c r="M43" s="27" t="str"/>
      <x:c r="N43" s="27" t="str">
        <x:v>BLACK+DECKER</x:v>
      </x:c>
      <x:c r="O43" s="27" t="str"/>
      <x:c r="P43" s="27" t="str">
        <x:v>Catalogo Black+Decker Lo Specialista 2026, pagina 73. Prezzi se presenti: raccomandati dal catalogo.</x:v>
      </x:c>
      <x:c r="Q43" s="30" t="str">
        <x:v>2026-06-10</x:v>
      </x:c>
      <x:c r="R43" s="27" t="n">
        <x:v>73</x:v>
      </x:c>
      <x:c r="S43" s="27" t="str">
        <x:v>B+D_CATALOGO Lo Specialista 2026.pdf</x:v>
      </x:c>
    </x:row>
    <x:row r="44">
      <x:c r="A44" s="27" t="str">
        <x:v>BD-0043</x:v>
      </x:c>
      <x:c r="B44" s="27" t="str">
        <x:v>5035048541029</x:v>
      </x:c>
      <x:c r="C44" s="27" t="str">
        <x:v>A7234-XJ</x:v>
      </x:c>
      <x:c r="D44" s="27" t="str">
        <x:v>Giftset Accessori - Set 45 pezzi</x:v>
      </x:c>
      <x:c r="E44" s="27" t="str">
        <x:v>BLACK+DECKER</x:v>
      </x:c>
      <x:c r="F44" s="27" t="str">
        <x:v>ELETTROUTENSILI</x:v>
      </x:c>
      <x:c r="G44" s="27" t="str">
        <x:v>GIFTSET ACCESSORI</x:v>
      </x:c>
      <x:c r="H44" s="28"/>
      <x:c r="I44" s="28"/>
      <x:c r="J44" s="29" t="n">
        <x:v>22</x:v>
      </x:c>
      <x:c r="K44" s="27" t="str"/>
      <x:c r="L44" s="27" t="str"/>
      <x:c r="M44" s="27" t="str"/>
      <x:c r="N44" s="27" t="str">
        <x:v>BLACK+DECKER</x:v>
      </x:c>
      <x:c r="O44" s="27" t="str"/>
      <x:c r="P44" s="27" t="str">
        <x:v>Catalogo Black+Decker Lo Specialista 2026, pagina 73. Prezzi se presenti: raccomandati dal catalogo.</x:v>
      </x:c>
      <x:c r="Q44" s="30" t="str">
        <x:v>2026-06-10</x:v>
      </x:c>
      <x:c r="R44" s="27" t="n">
        <x:v>73</x:v>
      </x:c>
      <x:c r="S44" s="27" t="str">
        <x:v>B+D_CATALOGO Lo Specialista 2026.pdf</x:v>
      </x:c>
    </x:row>
    <x:row r="45">
      <x:c r="A45" s="27" t="str">
        <x:v>BD-0044</x:v>
      </x:c>
      <x:c r="B45" s="27" t="str">
        <x:v>5035048269497</x:v>
      </x:c>
      <x:c r="C45" s="27" t="str">
        <x:v>ASI200-XJ</x:v>
      </x:c>
      <x:c r="D45" s="27" t="str">
        <x:v>Compressore portatile</x:v>
      </x:c>
      <x:c r="E45" s="27" t="str">
        <x:v>BLACK+DECKER</x:v>
      </x:c>
      <x:c r="F45" s="27" t="str">
        <x:v>ELETTROUTENSILI</x:v>
      </x:c>
      <x:c r="G45" s="27" t="str">
        <x:v>COMPRESSORI</x:v>
      </x:c>
      <x:c r="H45" s="28" t="n">
        <x:v>32.7</x:v>
      </x:c>
      <x:c r="I45" s="28" t="n">
        <x:v>39.9</x:v>
      </x:c>
      <x:c r="J45" s="29" t="n">
        <x:v>22</x:v>
      </x:c>
      <x:c r="K45" s="27" t="str"/>
      <x:c r="L45" s="27" t="str"/>
      <x:c r="M45" s="27" t="str"/>
      <x:c r="N45" s="27" t="str">
        <x:v>BLACK+DECKER</x:v>
      </x:c>
      <x:c r="O45" s="27" t="str"/>
      <x:c r="P45" s="27" t="str">
        <x:v>Catalogo Black+Decker Lo Specialista 2026, pagina 67. Prezzi se presenti: raccomandati dal catalogo.</x:v>
      </x:c>
      <x:c r="Q45" s="30" t="str">
        <x:v>2026-06-10</x:v>
      </x:c>
      <x:c r="R45" s="27" t="n">
        <x:v>67</x:v>
      </x:c>
      <x:c r="S45" s="27" t="str">
        <x:v>B+D_CATALOGO Lo Specialista 2026.pdf</x:v>
      </x:c>
    </x:row>
    <x:row r="46">
      <x:c r="A46" s="27" t="str">
        <x:v>BD-0045</x:v>
      </x:c>
      <x:c r="B46" s="27" t="str">
        <x:v>5035048200056</x:v>
      </x:c>
      <x:c r="C46" s="27" t="str">
        <x:v>ASI300-QS</x:v>
      </x:c>
      <x:c r="D46" s="27" t="str">
        <x:v>Compressore portatile</x:v>
      </x:c>
      <x:c r="E46" s="27" t="str">
        <x:v>BLACK+DECKER</x:v>
      </x:c>
      <x:c r="F46" s="27" t="str">
        <x:v>ELETTROUTENSILI</x:v>
      </x:c>
      <x:c r="G46" s="27" t="str">
        <x:v>COMPRESSORI</x:v>
      </x:c>
      <x:c r="H46" s="28" t="n">
        <x:v>49.1</x:v>
      </x:c>
      <x:c r="I46" s="28" t="n">
        <x:v>59.9</x:v>
      </x:c>
      <x:c r="J46" s="29" t="n">
        <x:v>22</x:v>
      </x:c>
      <x:c r="K46" s="27" t="str"/>
      <x:c r="L46" s="27" t="str"/>
      <x:c r="M46" s="27" t="str"/>
      <x:c r="N46" s="27" t="str">
        <x:v>BLACK+DECKER</x:v>
      </x:c>
      <x:c r="O46" s="27" t="str"/>
      <x:c r="P46" s="27" t="str">
        <x:v>Catalogo Black+Decker Lo Specialista 2026, pagina 68. Prezzi se presenti: raccomandati dal catalogo.</x:v>
      </x:c>
      <x:c r="Q46" s="30" t="str">
        <x:v>2026-06-10</x:v>
      </x:c>
      <x:c r="R46" s="27" t="n">
        <x:v>68</x:v>
      </x:c>
      <x:c r="S46" s="27" t="str">
        <x:v>B+D_CATALOGO Lo Specialista 2026.pdf</x:v>
      </x:c>
    </x:row>
    <x:row r="47">
      <x:c r="A47" s="27" t="str">
        <x:v>BD-0046</x:v>
      </x:c>
      <x:c r="B47" s="27" t="str">
        <x:v>5054905026011</x:v>
      </x:c>
      <x:c r="C47" s="27" t="str">
        <x:v>ASI400-XJ</x:v>
      </x:c>
      <x:c r="D47" s="27" t="str">
        <x:v>Compressore portatile</x:v>
      </x:c>
      <x:c r="E47" s="27" t="str">
        <x:v>BLACK+DECKER</x:v>
      </x:c>
      <x:c r="F47" s="27" t="str">
        <x:v>ELETTROUTENSILI</x:v>
      </x:c>
      <x:c r="G47" s="27" t="str">
        <x:v>COMPRESSORI</x:v>
      </x:c>
      <x:c r="H47" s="28" t="n">
        <x:v>49.1</x:v>
      </x:c>
      <x:c r="I47" s="28" t="n">
        <x:v>59.9</x:v>
      </x:c>
      <x:c r="J47" s="29" t="n">
        <x:v>22</x:v>
      </x:c>
      <x:c r="K47" s="27" t="str"/>
      <x:c r="L47" s="27" t="str"/>
      <x:c r="M47" s="27" t="str"/>
      <x:c r="N47" s="27" t="str">
        <x:v>BLACK+DECKER</x:v>
      </x:c>
      <x:c r="O47" s="27" t="str"/>
      <x:c r="P47" s="27" t="str">
        <x:v>Catalogo Black+Decker Lo Specialista 2026, pagina 68. Prezzi se presenti: raccomandati dal catalogo.</x:v>
      </x:c>
      <x:c r="Q47" s="30" t="str">
        <x:v>2026-06-10</x:v>
      </x:c>
      <x:c r="R47" s="27" t="n">
        <x:v>68</x:v>
      </x:c>
      <x:c r="S47" s="27" t="str">
        <x:v>B+D_CATALOGO Lo Specialista 2026.pdf</x:v>
      </x:c>
    </x:row>
    <x:row r="48">
      <x:c r="A48" s="27" t="str">
        <x:v>BD-0047</x:v>
      </x:c>
      <x:c r="B48" s="27" t="str">
        <x:v>5054905244644</x:v>
      </x:c>
      <x:c r="C48" s="27" t="str">
        <x:v>BCBL200B-XJ</x:v>
      </x:c>
      <x:c r="D48" s="27" t="str">
        <x:v>Soffiatore Assiale a batteria 18V (solo corpo macchina)</x:v>
      </x:c>
      <x:c r="E48" s="27" t="str">
        <x:v>BLACK+DECKER</x:v>
      </x:c>
      <x:c r="F48" s="27" t="str">
        <x:v>GAMMA GIARDINO</x:v>
      </x:c>
      <x:c r="G48" s="27" t="str">
        <x:v>SOFFIATORI</x:v>
      </x:c>
      <x:c r="H48" s="28" t="n">
        <x:v>61.4</x:v>
      </x:c>
      <x:c r="I48" s="28" t="n">
        <x:v>74.9</x:v>
      </x:c>
      <x:c r="J48" s="29" t="n">
        <x:v>22</x:v>
      </x:c>
      <x:c r="K48" s="27" t="str"/>
      <x:c r="L48" s="27" t="str"/>
      <x:c r="M48" s="27" t="str"/>
      <x:c r="N48" s="27" t="str">
        <x:v>BLACK+DECKER</x:v>
      </x:c>
      <x:c r="O48" s="27" t="str"/>
      <x:c r="P48" s="27" t="str">
        <x:v>Catalogo Black+Decker Lo Specialista 2026, pagina 102. Prezzi se presenti: raccomandati dal catalogo.</x:v>
      </x:c>
      <x:c r="Q48" s="30" t="str">
        <x:v>2026-06-10</x:v>
      </x:c>
      <x:c r="R48" s="27" t="n">
        <x:v>102</x:v>
      </x:c>
      <x:c r="S48" s="27" t="str">
        <x:v>B+D_CATALOGO Lo Specialista 2026.pdf</x:v>
      </x:c>
    </x:row>
    <x:row r="49">
      <x:c r="A49" s="27" t="str">
        <x:v>BD-0048</x:v>
      </x:c>
      <x:c r="B49" s="27" t="str">
        <x:v>5035048710043</x:v>
      </x:c>
      <x:c r="C49" s="27" t="str">
        <x:v>BCBL200L-QW</x:v>
      </x:c>
      <x:c r="D49" s="27" t="str">
        <x:v>Soffiatore Assiale a batteria 18V</x:v>
      </x:c>
      <x:c r="E49" s="27" t="str">
        <x:v>BLACK+DECKER</x:v>
      </x:c>
      <x:c r="F49" s="27" t="str">
        <x:v>GAMMA GIARDINO</x:v>
      </x:c>
      <x:c r="G49" s="27" t="str">
        <x:v>SOFFIATORI</x:v>
      </x:c>
      <x:c r="H49" s="28" t="n">
        <x:v>90.1</x:v>
      </x:c>
      <x:c r="I49" s="28" t="n">
        <x:v>109.9</x:v>
      </x:c>
      <x:c r="J49" s="29" t="n">
        <x:v>22</x:v>
      </x:c>
      <x:c r="K49" s="27" t="str"/>
      <x:c r="L49" s="27" t="str"/>
      <x:c r="M49" s="27" t="str"/>
      <x:c r="N49" s="27" t="str">
        <x:v>BLACK+DECKER</x:v>
      </x:c>
      <x:c r="O49" s="27" t="str"/>
      <x:c r="P49" s="27" t="str">
        <x:v>Catalogo Black+Decker Lo Specialista 2026, pagina 102. Prezzi se presenti: raccomandati dal catalogo.</x:v>
      </x:c>
      <x:c r="Q49" s="30" t="str">
        <x:v>2026-06-10</x:v>
      </x:c>
      <x:c r="R49" s="27" t="n">
        <x:v>102</x:v>
      </x:c>
      <x:c r="S49" s="27" t="str">
        <x:v>B+D_CATALOGO Lo Specialista 2026.pdf</x:v>
      </x:c>
    </x:row>
    <x:row r="50">
      <x:c r="A50" s="27" t="str">
        <x:v>BD-0049</x:v>
      </x:c>
      <x:c r="B50" s="27" t="str">
        <x:v>5035048727935</x:v>
      </x:c>
      <x:c r="C50" s="27" t="str">
        <x:v>BCBLV3625L1-QW</x:v>
      </x:c>
      <x:c r="D50" s="27" t="str">
        <x:v>Soffiatore - Aspiratore - Trituratore a batteria 36V Brushless</x:v>
      </x:c>
      <x:c r="E50" s="27" t="str">
        <x:v>BLACK+DECKER</x:v>
      </x:c>
      <x:c r="F50" s="27" t="str">
        <x:v>GAMMA GIARDINO</x:v>
      </x:c>
      <x:c r="G50" s="27" t="str">
        <x:v>SOFFIATORI</x:v>
      </x:c>
      <x:c r="H50" s="28" t="n">
        <x:v>196.7</x:v>
      </x:c>
      <x:c r="I50" s="28" t="n">
        <x:v>240</x:v>
      </x:c>
      <x:c r="J50" s="29" t="n">
        <x:v>22</x:v>
      </x:c>
      <x:c r="K50" s="27" t="str"/>
      <x:c r="L50" s="27" t="str"/>
      <x:c r="M50" s="27" t="str"/>
      <x:c r="N50" s="27" t="str">
        <x:v>BLACK+DECKER</x:v>
      </x:c>
      <x:c r="O50" s="27" t="str"/>
      <x:c r="P50" s="27" t="str">
        <x:v>Catalogo Black+Decker Lo Specialista 2026, pagina 102. Prezzi se presenti: raccomandati dal catalogo.</x:v>
      </x:c>
      <x:c r="Q50" s="30" t="str">
        <x:v>2026-06-10</x:v>
      </x:c>
      <x:c r="R50" s="27" t="n">
        <x:v>102</x:v>
      </x:c>
      <x:c r="S50" s="27" t="str">
        <x:v>B+D_CATALOGO Lo Specialista 2026.pdf</x:v>
      </x:c>
    </x:row>
    <x:row r="51">
      <x:c r="A51" s="27" t="str">
        <x:v>BD-0050</x:v>
      </x:c>
      <x:c r="B51" s="27" t="str">
        <x:v>5035048832912</x:v>
      </x:c>
      <x:c r="C51" s="27" t="str">
        <x:v>BCD382D1XC-QW</x:v>
      </x:c>
      <x:c r="D51" s="27" t="str">
        <x:v>Trapano avvitatore a batteria 18V 2.0 Ah</x:v>
      </x:c>
      <x:c r="E51" s="27" t="str">
        <x:v>BLACK+DECKER</x:v>
      </x:c>
      <x:c r="F51" s="27" t="str">
        <x:v>ELETTROUTENSILI</x:v>
      </x:c>
      <x:c r="G51" s="27" t="str">
        <x:v>TRAPANI A BATTERIA</x:v>
      </x:c>
      <x:c r="H51" s="28" t="n">
        <x:v>58.9</x:v>
      </x:c>
      <x:c r="I51" s="28" t="n">
        <x:v>71.9</x:v>
      </x:c>
      <x:c r="J51" s="29" t="n">
        <x:v>22</x:v>
      </x:c>
      <x:c r="K51" s="27" t="str"/>
      <x:c r="L51" s="27" t="str"/>
      <x:c r="M51" s="27" t="str"/>
      <x:c r="N51" s="27" t="str">
        <x:v>BLACK+DECKER</x:v>
      </x:c>
      <x:c r="O51" s="27" t="str"/>
      <x:c r="P51" s="27" t="str">
        <x:v>Catalogo Black+Decker Lo Specialista 2026, pagina 18. Prezzi se presenti: raccomandati dal catalogo.</x:v>
      </x:c>
      <x:c r="Q51" s="30" t="str">
        <x:v>2026-06-10</x:v>
      </x:c>
      <x:c r="R51" s="27" t="n">
        <x:v>18</x:v>
      </x:c>
      <x:c r="S51" s="27" t="str">
        <x:v>B+D_CATALOGO Lo Specialista 2026.pdf</x:v>
      </x:c>
    </x:row>
    <x:row r="52">
      <x:c r="A52" s="27" t="str">
        <x:v>BD-0051</x:v>
      </x:c>
      <x:c r="B52" s="27" t="str">
        <x:v>5035048833384</x:v>
      </x:c>
      <x:c r="C52" s="27" t="str">
        <x:v>BCD382D1XK-QW</x:v>
      </x:c>
      <x:c r="D52" s="27" t="str">
        <x:v>Trapano avvitatore a batteria 18V 2.0 Ah in valigetta</x:v>
      </x:c>
      <x:c r="E52" s="27" t="str">
        <x:v>BLACK+DECKER</x:v>
      </x:c>
      <x:c r="F52" s="27" t="str">
        <x:v>ELETTROUTENSILI</x:v>
      </x:c>
      <x:c r="G52" s="27" t="str">
        <x:v>TRAPANI A BATTERIA</x:v>
      </x:c>
      <x:c r="H52" s="28" t="n">
        <x:v>67.6</x:v>
      </x:c>
      <x:c r="I52" s="28" t="n">
        <x:v>82.5</x:v>
      </x:c>
      <x:c r="J52" s="29" t="n">
        <x:v>22</x:v>
      </x:c>
      <x:c r="K52" s="27" t="str"/>
      <x:c r="L52" s="27" t="str"/>
      <x:c r="M52" s="27" t="str"/>
      <x:c r="N52" s="27" t="str">
        <x:v>BLACK+DECKER</x:v>
      </x:c>
      <x:c r="O52" s="27" t="str"/>
      <x:c r="P52" s="27" t="str">
        <x:v>Catalogo Black+Decker Lo Specialista 2026, pagina 18. Prezzi se presenti: raccomandati dal catalogo.</x:v>
      </x:c>
      <x:c r="Q52" s="30" t="str">
        <x:v>2026-06-10</x:v>
      </x:c>
      <x:c r="R52" s="27" t="n">
        <x:v>18</x:v>
      </x:c>
      <x:c r="S52" s="27" t="str">
        <x:v>B+D_CATALOGO Lo Specialista 2026.pdf</x:v>
      </x:c>
    </x:row>
    <x:row r="53">
      <x:c r="A53" s="27" t="str">
        <x:v>BD-0052</x:v>
      </x:c>
      <x:c r="B53" s="27" t="str">
        <x:v>5035048833544</x:v>
      </x:c>
      <x:c r="C53" s="27" t="str">
        <x:v>BCD382D2XK-QW</x:v>
      </x:c>
      <x:c r="D53" s="27" t="str">
        <x:v>Trapano avvitatore con doppia batteria 18V 2.0 Ah in valigetta</x:v>
      </x:c>
      <x:c r="E53" s="27" t="str">
        <x:v>BLACK+DECKER</x:v>
      </x:c>
      <x:c r="F53" s="27" t="str">
        <x:v>ELETTROUTENSILI</x:v>
      </x:c>
      <x:c r="G53" s="27" t="str">
        <x:v>TRAPANI A BATTERIA</x:v>
      </x:c>
      <x:c r="H53" s="28" t="n">
        <x:v>83.5</x:v>
      </x:c>
      <x:c r="I53" s="28" t="n">
        <x:v>101.9</x:v>
      </x:c>
      <x:c r="J53" s="29" t="n">
        <x:v>22</x:v>
      </x:c>
      <x:c r="K53" s="27" t="str"/>
      <x:c r="L53" s="27" t="str"/>
      <x:c r="M53" s="27" t="str"/>
      <x:c r="N53" s="27" t="str">
        <x:v>BLACK+DECKER</x:v>
      </x:c>
      <x:c r="O53" s="27" t="str"/>
      <x:c r="P53" s="27" t="str">
        <x:v>Catalogo Black+Decker Lo Specialista 2026, pagina 18. Prezzi se presenti: raccomandati dal catalogo.</x:v>
      </x:c>
      <x:c r="Q53" s="30" t="str">
        <x:v>2026-06-10</x:v>
      </x:c>
      <x:c r="R53" s="27" t="n">
        <x:v>18</x:v>
      </x:c>
      <x:c r="S53" s="27" t="str">
        <x:v>B+D_CATALOGO Lo Specialista 2026.pdf</x:v>
      </x:c>
    </x:row>
    <x:row r="54">
      <x:c r="A54" s="27" t="str">
        <x:v>BD-0053</x:v>
      </x:c>
      <x:c r="B54" s="27" t="str">
        <x:v>5035048832844</x:v>
      </x:c>
      <x:c r="C54" s="27" t="str">
        <x:v>BCD382XN-XJ</x:v>
      </x:c>
      <x:c r="D54" s="27" t="str">
        <x:v>Trapano avvitatore a batteria 18V (solo corpo macchina)</x:v>
      </x:c>
      <x:c r="E54" s="27" t="str">
        <x:v>BLACK+DECKER</x:v>
      </x:c>
      <x:c r="F54" s="27" t="str">
        <x:v>ELETTROUTENSILI</x:v>
      </x:c>
      <x:c r="G54" s="27" t="str">
        <x:v>TRAPANI A BATTERIA</x:v>
      </x:c>
      <x:c r="H54" s="28" t="n">
        <x:v>40.9</x:v>
      </x:c>
      <x:c r="I54" s="28" t="n">
        <x:v>49.9</x:v>
      </x:c>
      <x:c r="J54" s="29" t="n">
        <x:v>22</x:v>
      </x:c>
      <x:c r="K54" s="27" t="str"/>
      <x:c r="L54" s="27" t="str"/>
      <x:c r="M54" s="27" t="str"/>
      <x:c r="N54" s="27" t="str">
        <x:v>BLACK+DECKER</x:v>
      </x:c>
      <x:c r="O54" s="27" t="str"/>
      <x:c r="P54" s="27" t="str">
        <x:v>Catalogo Black+Decker Lo Specialista 2026, pagina 18. Prezzi se presenti: raccomandati dal catalogo.</x:v>
      </x:c>
      <x:c r="Q54" s="30" t="str">
        <x:v>2026-06-10</x:v>
      </x:c>
      <x:c r="R54" s="27" t="n">
        <x:v>18</x:v>
      </x:c>
      <x:c r="S54" s="27" t="str">
        <x:v>B+D_CATALOGO Lo Specialista 2026.pdf</x:v>
      </x:c>
    </x:row>
    <x:row r="55">
      <x:c r="A55" s="27" t="str">
        <x:v>BD-0054</x:v>
      </x:c>
      <x:c r="B55" s="27" t="str">
        <x:v>5035048833322</x:v>
      </x:c>
      <x:c r="C55" s="27" t="str">
        <x:v>BCD383D1XC-QW</x:v>
      </x:c>
      <x:c r="D55" s="27" t="str">
        <x:v>Trapano avvitatore a percussione con batteria 18V 2.0 Ah</x:v>
      </x:c>
      <x:c r="E55" s="27" t="str">
        <x:v>BLACK+DECKER</x:v>
      </x:c>
      <x:c r="F55" s="27" t="str">
        <x:v>ELETTROUTENSILI</x:v>
      </x:c>
      <x:c r="G55" s="27" t="str">
        <x:v>TRAPANI A BATTERIA</x:v>
      </x:c>
      <x:c r="H55" s="28" t="n">
        <x:v>65.9</x:v>
      </x:c>
      <x:c r="I55" s="28" t="n">
        <x:v>80.4</x:v>
      </x:c>
      <x:c r="J55" s="29" t="n">
        <x:v>22</x:v>
      </x:c>
      <x:c r="K55" s="27" t="str"/>
      <x:c r="L55" s="27" t="str"/>
      <x:c r="M55" s="27" t="str"/>
      <x:c r="N55" s="27" t="str">
        <x:v>BLACK+DECKER</x:v>
      </x:c>
      <x:c r="O55" s="27" t="str"/>
      <x:c r="P55" s="27" t="str">
        <x:v>Catalogo Black+Decker Lo Specialista 2026, pagina 19. Prezzi se presenti: raccomandati dal catalogo.</x:v>
      </x:c>
      <x:c r="Q55" s="30" t="str">
        <x:v>2026-06-10</x:v>
      </x:c>
      <x:c r="R55" s="27" t="n">
        <x:v>19</x:v>
      </x:c>
      <x:c r="S55" s="27" t="str">
        <x:v>B+D_CATALOGO Lo Specialista 2026.pdf</x:v>
      </x:c>
    </x:row>
    <x:row r="56">
      <x:c r="A56" s="27" t="str">
        <x:v>BD-0055</x:v>
      </x:c>
      <x:c r="B56" s="27" t="str">
        <x:v>5035048833414</x:v>
      </x:c>
      <x:c r="C56" s="27" t="str">
        <x:v>BCD383D1XK-QW</x:v>
      </x:c>
      <x:c r="D56" s="27" t="str">
        <x:v>Trapano avvitatore a percussione con batteria 18V 2.0 Ah in valigetta</x:v>
      </x:c>
      <x:c r="E56" s="27" t="str">
        <x:v>BLACK+DECKER</x:v>
      </x:c>
      <x:c r="F56" s="27" t="str">
        <x:v>ELETTROUTENSILI</x:v>
      </x:c>
      <x:c r="G56" s="27" t="str">
        <x:v>TRAPANI A BATTERIA</x:v>
      </x:c>
      <x:c r="H56" s="28" t="n">
        <x:v>74.5</x:v>
      </x:c>
      <x:c r="I56" s="28" t="n">
        <x:v>90.9</x:v>
      </x:c>
      <x:c r="J56" s="29" t="n">
        <x:v>22</x:v>
      </x:c>
      <x:c r="K56" s="27" t="str"/>
      <x:c r="L56" s="27" t="str"/>
      <x:c r="M56" s="27" t="str"/>
      <x:c r="N56" s="27" t="str">
        <x:v>BLACK+DECKER</x:v>
      </x:c>
      <x:c r="O56" s="27" t="str"/>
      <x:c r="P56" s="27" t="str">
        <x:v>Catalogo Black+Decker Lo Specialista 2026, pagina 19. Prezzi se presenti: raccomandati dal catalogo.</x:v>
      </x:c>
      <x:c r="Q56" s="30" t="str">
        <x:v>2026-06-10</x:v>
      </x:c>
      <x:c r="R56" s="27" t="n">
        <x:v>19</x:v>
      </x:c>
      <x:c r="S56" s="27" t="str">
        <x:v>B+D_CATALOGO Lo Specialista 2026.pdf</x:v>
      </x:c>
    </x:row>
    <x:row r="57">
      <x:c r="A57" s="27" t="str">
        <x:v>BD-0056</x:v>
      </x:c>
      <x:c r="B57" s="27" t="str">
        <x:v>5035048833513</x:v>
      </x:c>
      <x:c r="C57" s="27" t="str">
        <x:v>BCD383D2XK-QW</x:v>
      </x:c>
      <x:c r="D57" s="27" t="str">
        <x:v>Trapano avvitatore a percussione con doppia batteria 18V 2.0 Ah in valigetta</x:v>
      </x:c>
      <x:c r="E57" s="27" t="str">
        <x:v>BLACK+DECKER</x:v>
      </x:c>
      <x:c r="F57" s="27" t="str">
        <x:v>ELETTROUTENSILI</x:v>
      </x:c>
      <x:c r="G57" s="27" t="str">
        <x:v>TRAPANI A BATTERIA</x:v>
      </x:c>
      <x:c r="H57" s="28" t="n">
        <x:v>90.9</x:v>
      </x:c>
      <x:c r="I57" s="28" t="n">
        <x:v>110.9</x:v>
      </x:c>
      <x:c r="J57" s="29" t="n">
        <x:v>22</x:v>
      </x:c>
      <x:c r="K57" s="27" t="str"/>
      <x:c r="L57" s="27" t="str"/>
      <x:c r="M57" s="27" t="str"/>
      <x:c r="N57" s="27" t="str">
        <x:v>BLACK+DECKER</x:v>
      </x:c>
      <x:c r="O57" s="27" t="str"/>
      <x:c r="P57" s="27" t="str">
        <x:v>Catalogo Black+Decker Lo Specialista 2026, pagina 19. Prezzi se presenti: raccomandati dal catalogo.</x:v>
      </x:c>
      <x:c r="Q57" s="30" t="str">
        <x:v>2026-06-10</x:v>
      </x:c>
      <x:c r="R57" s="27" t="n">
        <x:v>19</x:v>
      </x:c>
      <x:c r="S57" s="27" t="str">
        <x:v>B+D_CATALOGO Lo Specialista 2026.pdf</x:v>
      </x:c>
    </x:row>
    <x:row r="58">
      <x:c r="A58" s="27" t="str">
        <x:v>BD-0057</x:v>
      </x:c>
      <x:c r="B58" s="27" t="str">
        <x:v>5035048832882</x:v>
      </x:c>
      <x:c r="C58" s="27" t="str">
        <x:v>BCD383XN-XJ</x:v>
      </x:c>
      <x:c r="D58" s="27" t="str">
        <x:v>Trapano avvitatore a percussione con batteria 18V (solo corpo macchina)</x:v>
      </x:c>
      <x:c r="E58" s="27" t="str">
        <x:v>BLACK+DECKER</x:v>
      </x:c>
      <x:c r="F58" s="27" t="str">
        <x:v>ELETTROUTENSILI</x:v>
      </x:c>
      <x:c r="G58" s="27" t="str">
        <x:v>TRAPANI A BATTERIA</x:v>
      </x:c>
      <x:c r="H58" s="28" t="n">
        <x:v>49.1</x:v>
      </x:c>
      <x:c r="I58" s="28" t="n">
        <x:v>59.9</x:v>
      </x:c>
      <x:c r="J58" s="29" t="n">
        <x:v>22</x:v>
      </x:c>
      <x:c r="K58" s="27" t="str"/>
      <x:c r="L58" s="27" t="str"/>
      <x:c r="M58" s="27" t="str"/>
      <x:c r="N58" s="27" t="str">
        <x:v>BLACK+DECKER</x:v>
      </x:c>
      <x:c r="O58" s="27" t="str"/>
      <x:c r="P58" s="27" t="str">
        <x:v>Catalogo Black+Decker Lo Specialista 2026, pagina 19. Prezzi se presenti: raccomandati dal catalogo.</x:v>
      </x:c>
      <x:c r="Q58" s="30" t="str">
        <x:v>2026-06-10</x:v>
      </x:c>
      <x:c r="R58" s="27" t="n">
        <x:v>19</x:v>
      </x:c>
      <x:c r="S58" s="27" t="str">
        <x:v>B+D_CATALOGO Lo Specialista 2026.pdf</x:v>
      </x:c>
    </x:row>
    <x:row r="59">
      <x:c r="A59" s="27" t="str">
        <x:v>BD-0058</x:v>
      </x:c>
      <x:c r="B59" s="27" t="str">
        <x:v>5035048705032</x:v>
      </x:c>
      <x:c r="C59" s="27" t="str">
        <x:v>BCD900B-XJ</x:v>
      </x:c>
      <x:c r="D59" s="27" t="str">
        <x:v>Tassellatore a batteria 18V (solo corpo macchina)</x:v>
      </x:c>
      <x:c r="E59" s="27" t="str">
        <x:v>BLACK+DECKER</x:v>
      </x:c>
      <x:c r="F59" s="27" t="str">
        <x:v>ELETTROUTENSILI</x:v>
      </x:c>
      <x:c r="G59" s="27" t="str">
        <x:v>TASSELLATORI</x:v>
      </x:c>
      <x:c r="H59" s="28" t="n">
        <x:v>90.1</x:v>
      </x:c>
      <x:c r="I59" s="28" t="n">
        <x:v>109.9</x:v>
      </x:c>
      <x:c r="J59" s="29" t="n">
        <x:v>22</x:v>
      </x:c>
      <x:c r="K59" s="27" t="str"/>
      <x:c r="L59" s="27" t="str"/>
      <x:c r="M59" s="27" t="str"/>
      <x:c r="N59" s="27" t="str">
        <x:v>BLACK+DECKER</x:v>
      </x:c>
      <x:c r="O59" s="27" t="str"/>
      <x:c r="P59" s="27" t="str">
        <x:v>Catalogo Black+Decker Lo Specialista 2026, pagina 24. Prezzi se presenti: raccomandati dal catalogo.</x:v>
      </x:c>
      <x:c r="Q59" s="30" t="str">
        <x:v>2026-06-10</x:v>
      </x:c>
      <x:c r="R59" s="27" t="n">
        <x:v>24</x:v>
      </x:c>
      <x:c r="S59" s="27" t="str">
        <x:v>B+D_CATALOGO Lo Specialista 2026.pdf</x:v>
      </x:c>
    </x:row>
    <x:row r="60">
      <x:c r="A60" s="27" t="str">
        <x:v>BD-0059</x:v>
      </x:c>
      <x:c r="B60" s="27" t="str">
        <x:v>5035048728666</x:v>
      </x:c>
      <x:c r="C60" s="27" t="str">
        <x:v>BCD900D1S-QW</x:v>
      </x:c>
      <x:c r="D60" s="27" t="str">
        <x:v>Tassellatore a batteria 18V</x:v>
      </x:c>
      <x:c r="E60" s="27" t="str">
        <x:v>BLACK+DECKER</x:v>
      </x:c>
      <x:c r="F60" s="27" t="str">
        <x:v>ELETTROUTENSILI</x:v>
      </x:c>
      <x:c r="G60" s="27" t="str">
        <x:v>TASSELLATORI</x:v>
      </x:c>
      <x:c r="H60" s="28" t="n">
        <x:v>131.1</x:v>
      </x:c>
      <x:c r="I60" s="28" t="n">
        <x:v>159.9</x:v>
      </x:c>
      <x:c r="J60" s="29" t="n">
        <x:v>22</x:v>
      </x:c>
      <x:c r="K60" s="27" t="str"/>
      <x:c r="L60" s="27" t="str"/>
      <x:c r="M60" s="27" t="str"/>
      <x:c r="N60" s="27" t="str">
        <x:v>BLACK+DECKER</x:v>
      </x:c>
      <x:c r="O60" s="27" t="str"/>
      <x:c r="P60" s="27" t="str">
        <x:v>Catalogo Black+Decker Lo Specialista 2026, pagina 24. Prezzi se presenti: raccomandati dal catalogo.</x:v>
      </x:c>
      <x:c r="Q60" s="30" t="str">
        <x:v>2026-06-10</x:v>
      </x:c>
      <x:c r="R60" s="27" t="n">
        <x:v>24</x:v>
      </x:c>
      <x:c r="S60" s="27" t="str">
        <x:v>B+D_CATALOGO Lo Specialista 2026.pdf</x:v>
      </x:c>
    </x:row>
    <x:row r="61">
      <x:c r="A61" s="27" t="str">
        <x:v>BD-0060</x:v>
      </x:c>
      <x:c r="B61" s="27" t="str">
        <x:v>5035048726822</x:v>
      </x:c>
      <x:c r="C61" s="27" t="str">
        <x:v>BCD900E2K-QW</x:v>
      </x:c>
      <x:c r="D61" s="27" t="str">
        <x:v>Tassellatore a batteria 18V in valigetta</x:v>
      </x:c>
      <x:c r="E61" s="27" t="str">
        <x:v>BLACK+DECKER</x:v>
      </x:c>
      <x:c r="F61" s="27" t="str">
        <x:v>ELETTROUTENSILI</x:v>
      </x:c>
      <x:c r="G61" s="27" t="str">
        <x:v>TASSELLATORI</x:v>
      </x:c>
      <x:c r="H61" s="28" t="n">
        <x:v>180.1</x:v>
      </x:c>
      <x:c r="I61" s="28" t="n">
        <x:v>219.7</x:v>
      </x:c>
      <x:c r="J61" s="29" t="n">
        <x:v>22</x:v>
      </x:c>
      <x:c r="K61" s="27" t="str"/>
      <x:c r="L61" s="27" t="str"/>
      <x:c r="M61" s="27" t="str"/>
      <x:c r="N61" s="27" t="str">
        <x:v>BLACK+DECKER</x:v>
      </x:c>
      <x:c r="O61" s="27" t="str"/>
      <x:c r="P61" s="27" t="str">
        <x:v>Catalogo Black+Decker Lo Specialista 2026, pagina 24. Prezzi se presenti: raccomandati dal catalogo.</x:v>
      </x:c>
      <x:c r="Q61" s="30" t="str">
        <x:v>2026-06-10</x:v>
      </x:c>
      <x:c r="R61" s="27" t="n">
        <x:v>24</x:v>
      </x:c>
      <x:c r="S61" s="27" t="str">
        <x:v>B+D_CATALOGO Lo Specialista 2026.pdf</x:v>
      </x:c>
    </x:row>
    <x:row r="62">
      <x:c r="A62" s="27" t="str">
        <x:v>BD-0061</x:v>
      </x:c>
      <x:c r="B62" s="27" t="str">
        <x:v>5035048728697</x:v>
      </x:c>
      <x:c r="C62" s="27" t="str">
        <x:v>BCD900M1K-QW</x:v>
      </x:c>
      <x:c r="D62" s="27" t="str">
        <x:v>Tassellatore a batteria 18V in valigetta</x:v>
      </x:c>
      <x:c r="E62" s="27" t="str">
        <x:v>BLACK+DECKER</x:v>
      </x:c>
      <x:c r="F62" s="27" t="str">
        <x:v>ELETTROUTENSILI</x:v>
      </x:c>
      <x:c r="G62" s="27" t="str">
        <x:v>TASSELLATORI</x:v>
      </x:c>
      <x:c r="H62" s="28" t="n">
        <x:v>163.9</x:v>
      </x:c>
      <x:c r="I62" s="28" t="n">
        <x:v>200</x:v>
      </x:c>
      <x:c r="J62" s="29" t="n">
        <x:v>22</x:v>
      </x:c>
      <x:c r="K62" s="27" t="str"/>
      <x:c r="L62" s="27" t="str"/>
      <x:c r="M62" s="27" t="str"/>
      <x:c r="N62" s="27" t="str">
        <x:v>BLACK+DECKER</x:v>
      </x:c>
      <x:c r="O62" s="27" t="str"/>
      <x:c r="P62" s="27" t="str">
        <x:v>Catalogo Black+Decker Lo Specialista 2026, pagina 24. Prezzi se presenti: raccomandati dal catalogo.</x:v>
      </x:c>
      <x:c r="Q62" s="30" t="str">
        <x:v>2026-06-10</x:v>
      </x:c>
      <x:c r="R62" s="27" t="n">
        <x:v>24</x:v>
      </x:c>
      <x:c r="S62" s="27" t="str">
        <x:v>B+D_CATALOGO Lo Specialista 2026.pdf</x:v>
      </x:c>
    </x:row>
    <x:row r="63">
      <x:c r="A63" s="27" t="str">
        <x:v>BD-0062</x:v>
      </x:c>
      <x:c r="B63" s="27" t="str">
        <x:v>5035048716182</x:v>
      </x:c>
      <x:c r="C63" s="27" t="str">
        <x:v>BCF611CK-QW</x:v>
      </x:c>
      <x:c r="D63" s="27" t="str">
        <x:v>Svitavvita a ricarica rapida</x:v>
      </x:c>
      <x:c r="E63" s="27" t="str">
        <x:v>BLACK+DECKER</x:v>
      </x:c>
      <x:c r="F63" s="27" t="str">
        <x:v>ELETTROUTENSILI</x:v>
      </x:c>
      <x:c r="G63" s="27" t="str">
        <x:v>SVITAVVITA</x:v>
      </x:c>
      <x:c r="H63" s="28" t="n">
        <x:v>32.9</x:v>
      </x:c>
      <x:c r="I63" s="28" t="n">
        <x:v>40.1</x:v>
      </x:c>
      <x:c r="J63" s="29" t="n">
        <x:v>22</x:v>
      </x:c>
      <x:c r="K63" s="27" t="str"/>
      <x:c r="L63" s="27" t="str"/>
      <x:c r="M63" s="27" t="str"/>
      <x:c r="N63" s="27" t="str">
        <x:v>BLACK+DECKER</x:v>
      </x:c>
      <x:c r="O63" s="27" t="str"/>
      <x:c r="P63" s="27" t="str">
        <x:v>Catalogo Black+Decker Lo Specialista 2026, pagina 27. Prezzi se presenti: raccomandati dal catalogo.</x:v>
      </x:c>
      <x:c r="Q63" s="30" t="str">
        <x:v>2026-06-10</x:v>
      </x:c>
      <x:c r="R63" s="27" t="n">
        <x:v>27</x:v>
      </x:c>
      <x:c r="S63" s="27" t="str">
        <x:v>B+D_CATALOGO Lo Specialista 2026.pdf</x:v>
      </x:c>
    </x:row>
    <x:row r="64">
      <x:c r="A64" s="27" t="str">
        <x:v>BD-0063</x:v>
      </x:c>
      <x:c r="B64" s="27" t="str">
        <x:v>5035048836484</x:v>
      </x:c>
      <x:c r="C64" s="27" t="str">
        <x:v>BCG6L8D1S-QW</x:v>
      </x:c>
      <x:c r="D64" s="27" t="str">
        <x:v>Smerigliatrice angolare 115 mm Brushless a batteria 18V 2.0 Ah</x:v>
      </x:c>
      <x:c r="E64" s="27" t="str">
        <x:v>BLACK+DECKER</x:v>
      </x:c>
      <x:c r="F64" s="27" t="str">
        <x:v>ELETTROUTENSILI</x:v>
      </x:c>
      <x:c r="G64" s="27" t="str">
        <x:v>SMERIGLIATRICI</x:v>
      </x:c>
      <x:c r="H64" s="28" t="n">
        <x:v>98.3</x:v>
      </x:c>
      <x:c r="I64" s="28" t="n">
        <x:v>119.9</x:v>
      </x:c>
      <x:c r="J64" s="29" t="n">
        <x:v>22</x:v>
      </x:c>
      <x:c r="K64" s="27" t="str"/>
      <x:c r="L64" s="27" t="str"/>
      <x:c r="M64" s="27" t="str"/>
      <x:c r="N64" s="27" t="str">
        <x:v>BLACK+DECKER</x:v>
      </x:c>
      <x:c r="O64" s="27" t="str"/>
      <x:c r="P64" s="27" t="str">
        <x:v>Catalogo Black+Decker Lo Specialista 2026, pagina 54. Prezzi se presenti: raccomandati dal catalogo.</x:v>
      </x:c>
      <x:c r="Q64" s="30" t="str">
        <x:v>2026-06-10</x:v>
      </x:c>
      <x:c r="R64" s="27" t="n">
        <x:v>54</x:v>
      </x:c>
      <x:c r="S64" s="27" t="str">
        <x:v>B+D_CATALOGO Lo Specialista 2026.pdf</x:v>
      </x:c>
    </x:row>
    <x:row r="65">
      <x:c r="A65" s="27" t="str">
        <x:v>BD-0064</x:v>
      </x:c>
      <x:c r="B65" s="27" t="str">
        <x:v>5035048836545</x:v>
      </x:c>
      <x:c r="C65" s="27" t="str">
        <x:v>BCG6L8F1S-QW</x:v>
      </x:c>
      <x:c r="D65" s="27" t="str">
        <x:v>Smerigliatrice angolare 115 mm Brushless a batteria 18V 4.0 Ah</x:v>
      </x:c>
      <x:c r="E65" s="27" t="str">
        <x:v>BLACK+DECKER</x:v>
      </x:c>
      <x:c r="F65" s="27" t="str">
        <x:v>ELETTROUTENSILI</x:v>
      </x:c>
      <x:c r="G65" s="27" t="str">
        <x:v>SMERIGLIATRICI</x:v>
      </x:c>
      <x:c r="H65" s="28" t="n">
        <x:v>114.6</x:v>
      </x:c>
      <x:c r="I65" s="28" t="n">
        <x:v>139.8</x:v>
      </x:c>
      <x:c r="J65" s="29" t="n">
        <x:v>22</x:v>
      </x:c>
      <x:c r="K65" s="27" t="str"/>
      <x:c r="L65" s="27" t="str"/>
      <x:c r="M65" s="27" t="str"/>
      <x:c r="N65" s="27" t="str">
        <x:v>BLACK+DECKER</x:v>
      </x:c>
      <x:c r="O65" s="27" t="str"/>
      <x:c r="P65" s="27" t="str">
        <x:v>Catalogo Black+Decker Lo Specialista 2026, pagina 54. Prezzi se presenti: raccomandati dal catalogo.</x:v>
      </x:c>
      <x:c r="Q65" s="30" t="str">
        <x:v>2026-06-10</x:v>
      </x:c>
      <x:c r="R65" s="27" t="n">
        <x:v>54</x:v>
      </x:c>
      <x:c r="S65" s="27" t="str">
        <x:v>B+D_CATALOGO Lo Specialista 2026.pdf</x:v>
      </x:c>
    </x:row>
    <x:row r="66">
      <x:c r="A66" s="27" t="str">
        <x:v>BD-0065</x:v>
      </x:c>
      <x:c r="B66" s="27" t="str">
        <x:v>5035048836378</x:v>
      </x:c>
      <x:c r="C66" s="27" t="str">
        <x:v>BCG6L8N-XJ</x:v>
      </x:c>
      <x:c r="D66" s="27" t="str">
        <x:v>Smerigliatrice angolare 115 mm Brushless (solo corpo macchina)</x:v>
      </x:c>
      <x:c r="E66" s="27" t="str">
        <x:v>BLACK+DECKER</x:v>
      </x:c>
      <x:c r="F66" s="27" t="str">
        <x:v>ELETTROUTENSILI</x:v>
      </x:c>
      <x:c r="G66" s="27" t="str">
        <x:v>SMERIGLIATRICI</x:v>
      </x:c>
      <x:c r="H66" s="28" t="n">
        <x:v>65.5</x:v>
      </x:c>
      <x:c r="I66" s="28" t="n">
        <x:v>79.9</x:v>
      </x:c>
      <x:c r="J66" s="29" t="n">
        <x:v>22</x:v>
      </x:c>
      <x:c r="K66" s="27" t="str"/>
      <x:c r="L66" s="27" t="str"/>
      <x:c r="M66" s="27" t="str"/>
      <x:c r="N66" s="27" t="str">
        <x:v>BLACK+DECKER</x:v>
      </x:c>
      <x:c r="O66" s="27" t="str"/>
      <x:c r="P66" s="27" t="str">
        <x:v>Catalogo Black+Decker Lo Specialista 2026, pagina 54. Prezzi se presenti: raccomandati dal catalogo.</x:v>
      </x:c>
      <x:c r="Q66" s="30" t="str">
        <x:v>2026-06-10</x:v>
      </x:c>
      <x:c r="R66" s="27" t="n">
        <x:v>54</x:v>
      </x:c>
      <x:c r="S66" s="27" t="str">
        <x:v>B+D_CATALOGO Lo Specialista 2026.pdf</x:v>
      </x:c>
    </x:row>
    <x:row r="67">
      <x:c r="A67" s="27" t="str">
        <x:v>BD-0066</x:v>
      </x:c>
      <x:c r="B67" s="27" t="str">
        <x:v>5035048788660</x:v>
      </x:c>
      <x:c r="C67" s="27" t="str">
        <x:v>BCGL115-XJ</x:v>
      </x:c>
      <x:c r="D67" s="27" t="str">
        <x:v>Pistola incollatrice</x:v>
      </x:c>
      <x:c r="E67" s="27" t="str">
        <x:v>BLACK+DECKER</x:v>
      </x:c>
      <x:c r="F67" s="27" t="str">
        <x:v>ELETTROUTENSILI</x:v>
      </x:c>
      <x:c r="G67" s="27" t="str">
        <x:v>UTENSILI PER DECORAZIONE</x:v>
      </x:c>
      <x:c r="H67" s="28" t="n">
        <x:v>32.7</x:v>
      </x:c>
      <x:c r="I67" s="28" t="n">
        <x:v>39.9</x:v>
      </x:c>
      <x:c r="J67" s="29" t="n">
        <x:v>22</x:v>
      </x:c>
      <x:c r="K67" s="27" t="str"/>
      <x:c r="L67" s="27" t="str"/>
      <x:c r="M67" s="27" t="str"/>
      <x:c r="N67" s="27" t="str">
        <x:v>BLACK+DECKER</x:v>
      </x:c>
      <x:c r="O67" s="27" t="str"/>
      <x:c r="P67" s="27" t="str">
        <x:v>Catalogo Black+Decker Lo Specialista 2026, pagina 61. Prezzi se presenti: raccomandati dal catalogo.</x:v>
      </x:c>
      <x:c r="Q67" s="30" t="str">
        <x:v>2026-06-10</x:v>
      </x:c>
      <x:c r="R67" s="27" t="n">
        <x:v>61</x:v>
      </x:c>
      <x:c r="S67" s="27" t="str">
        <x:v>B+D_CATALOGO Lo Specialista 2026.pdf</x:v>
      </x:c>
    </x:row>
    <x:row r="68">
      <x:c r="A68" s="27" t="str">
        <x:v>BD-0067</x:v>
      </x:c>
      <x:c r="B68" s="27" t="str">
        <x:v>5035048727980</x:v>
      </x:c>
      <x:c r="C68" s="27" t="str">
        <x:v>BCHTS3625L1-QW</x:v>
      </x:c>
      <x:c r="D68" s="27" t="str">
        <x:v>Tagliasiepi a batteria 36V</x:v>
      </x:c>
      <x:c r="E68" s="27" t="str">
        <x:v>BLACK+DECKER</x:v>
      </x:c>
      <x:c r="F68" s="27" t="str">
        <x:v>GAMMA GIARDINO</x:v>
      </x:c>
      <x:c r="G68" s="27" t="str">
        <x:v>TAGLIASIEPI E CESOIE</x:v>
      </x:c>
      <x:c r="H68" s="28" t="n">
        <x:v>180.3</x:v>
      </x:c>
      <x:c r="I68" s="28" t="n">
        <x:v>220</x:v>
      </x:c>
      <x:c r="J68" s="29" t="n">
        <x:v>22</x:v>
      </x:c>
      <x:c r="K68" s="27" t="str"/>
      <x:c r="L68" s="27" t="str"/>
      <x:c r="M68" s="27" t="str"/>
      <x:c r="N68" s="27" t="str">
        <x:v>BLACK+DECKER</x:v>
      </x:c>
      <x:c r="O68" s="27" t="str"/>
      <x:c r="P68" s="27" t="str">
        <x:v>Catalogo Black+Decker Lo Specialista 2026, pagina 115. Prezzi se presenti: raccomandati dal catalogo.</x:v>
      </x:c>
      <x:c r="Q68" s="30" t="str">
        <x:v>2026-06-10</x:v>
      </x:c>
      <x:c r="R68" s="27" t="n">
        <x:v>115</x:v>
      </x:c>
      <x:c r="S68" s="27" t="str">
        <x:v>B+D_CATALOGO Lo Specialista 2026.pdf</x:v>
      </x:c>
    </x:row>
    <x:row r="69">
      <x:c r="A69" s="27" t="str">
        <x:v>BD-0068</x:v>
      </x:c>
      <x:c r="B69" s="27" t="str">
        <x:v>5035048735190</x:v>
      </x:c>
      <x:c r="C69" s="27" t="str">
        <x:v>BCHV001B-XJ</x:v>
      </x:c>
      <x:c r="D69" s="27" t="str">
        <x:v>Dustbuster 18V (solo corpo macchina)</x:v>
      </x:c>
      <x:c r="E69" s="27" t="str">
        <x:v>BLACK+DECKER</x:v>
      </x:c>
      <x:c r="F69" s="27" t="str">
        <x:v>CURA DELLA CASA</x:v>
      </x:c>
      <x:c r="G69" s="27" t="str">
        <x:v>CURA DELLA CASA</x:v>
      </x:c>
      <x:c r="H69" s="28" t="n">
        <x:v>40.9</x:v>
      </x:c>
      <x:c r="I69" s="28" t="n">
        <x:v>49.9</x:v>
      </x:c>
      <x:c r="J69" s="29" t="n">
        <x:v>22</x:v>
      </x:c>
      <x:c r="K69" s="27" t="str"/>
      <x:c r="L69" s="27" t="str"/>
      <x:c r="M69" s="27" t="str"/>
      <x:c r="N69" s="27" t="str">
        <x:v>BLACK+DECKER</x:v>
      </x:c>
      <x:c r="O69" s="27" t="str"/>
      <x:c r="P69" s="27" t="str">
        <x:v>Catalogo Black+Decker Lo Specialista 2026, pagina 123. Prezzi se presenti: raccomandati dal catalogo.</x:v>
      </x:c>
      <x:c r="Q69" s="30" t="str">
        <x:v>2026-06-10</x:v>
      </x:c>
      <x:c r="R69" s="27" t="n">
        <x:v>123</x:v>
      </x:c>
      <x:c r="S69" s="27" t="str">
        <x:v>B+D_CATALOGO Lo Specialista 2026.pdf</x:v>
      </x:c>
    </x:row>
    <x:row r="70">
      <x:c r="A70" s="27" t="str">
        <x:v>BD-0069</x:v>
      </x:c>
      <x:c r="B70" s="27" t="str">
        <x:v>5035048735183</x:v>
      </x:c>
      <x:c r="C70" s="27" t="str">
        <x:v>BCHV001C1-QW</x:v>
      </x:c>
      <x:c r="D70" s="27" t="str">
        <x:v>Dustbuster 18V</x:v>
      </x:c>
      <x:c r="E70" s="27" t="str">
        <x:v>BLACK+DECKER</x:v>
      </x:c>
      <x:c r="F70" s="27" t="str">
        <x:v>CURA DELLA CASA</x:v>
      </x:c>
      <x:c r="G70" s="27" t="str">
        <x:v>CURA DELLA CASA</x:v>
      </x:c>
      <x:c r="H70" s="28" t="n">
        <x:v>65.5</x:v>
      </x:c>
      <x:c r="I70" s="28" t="n">
        <x:v>79.9</x:v>
      </x:c>
      <x:c r="J70" s="29" t="n">
        <x:v>22</x:v>
      </x:c>
      <x:c r="K70" s="27" t="str"/>
      <x:c r="L70" s="27" t="str"/>
      <x:c r="M70" s="27" t="str"/>
      <x:c r="N70" s="27" t="str">
        <x:v>BLACK+DECKER</x:v>
      </x:c>
      <x:c r="O70" s="27" t="str"/>
      <x:c r="P70" s="27" t="str">
        <x:v>Catalogo Black+Decker Lo Specialista 2026, pagina 123. Prezzi se presenti: raccomandati dal catalogo.</x:v>
      </x:c>
      <x:c r="Q70" s="30" t="str">
        <x:v>2026-06-10</x:v>
      </x:c>
      <x:c r="R70" s="27" t="n">
        <x:v>123</x:v>
      </x:c>
      <x:c r="S70" s="27" t="str">
        <x:v>B+D_CATALOGO Lo Specialista 2026.pdf</x:v>
      </x:c>
    </x:row>
    <x:row r="71">
      <x:c r="A71" s="27" t="str">
        <x:v>BD-0070</x:v>
      </x:c>
      <x:c r="B71" s="27" t="str">
        <x:v>5035048723272</x:v>
      </x:c>
      <x:c r="C71" s="27" t="str">
        <x:v>BCMW33184L2-QW</x:v>
      </x:c>
      <x:c r="D71" s="27" t="str">
        <x:v>Rasaerba con doppia batteria 36V(18x2)</x:v>
      </x:c>
      <x:c r="E71" s="27" t="str">
        <x:v>BLACK+DECKER</x:v>
      </x:c>
      <x:c r="F71" s="27" t="str">
        <x:v>GAMMA GIARDINO</x:v>
      </x:c>
      <x:c r="G71" s="27" t="str">
        <x:v>RASAERBA</x:v>
      </x:c>
      <x:c r="H71" s="28" t="n">
        <x:v>255</x:v>
      </x:c>
      <x:c r="I71" s="28" t="n">
        <x:v>311.1</x:v>
      </x:c>
      <x:c r="J71" s="29" t="n">
        <x:v>22</x:v>
      </x:c>
      <x:c r="K71" s="27" t="str"/>
      <x:c r="L71" s="27" t="str"/>
      <x:c r="M71" s="27" t="str"/>
      <x:c r="N71" s="27" t="str">
        <x:v>BLACK+DECKER</x:v>
      </x:c>
      <x:c r="O71" s="27" t="str"/>
      <x:c r="P71" s="27" t="str">
        <x:v>Catalogo Black+Decker Lo Specialista 2026, pagina 84. Prezzi se presenti: raccomandati dal catalogo.</x:v>
      </x:c>
      <x:c r="Q71" s="30" t="str">
        <x:v>2026-06-10</x:v>
      </x:c>
      <x:c r="R71" s="27" t="n">
        <x:v>84</x:v>
      </x:c>
      <x:c r="S71" s="27" t="str">
        <x:v>B+D_CATALOGO Lo Specialista 2026.pdf</x:v>
      </x:c>
    </x:row>
    <x:row r="72">
      <x:c r="A72" s="27" t="str">
        <x:v>BD-0071</x:v>
      </x:c>
      <x:c r="B72" s="27" t="str">
        <x:v>5035048723241</x:v>
      </x:c>
      <x:c r="C72" s="27" t="str">
        <x:v>BCMW3318L2-QW</x:v>
      </x:c>
      <x:c r="D72" s="27" t="str">
        <x:v>Rasaerba con doppia batteria 36V(18x2)</x:v>
      </x:c>
      <x:c r="E72" s="27" t="str">
        <x:v>BLACK+DECKER</x:v>
      </x:c>
      <x:c r="F72" s="27" t="str">
        <x:v>GAMMA GIARDINO</x:v>
      </x:c>
      <x:c r="G72" s="27" t="str">
        <x:v>RASAERBA</x:v>
      </x:c>
      <x:c r="H72" s="28" t="n">
        <x:v>222.5</x:v>
      </x:c>
      <x:c r="I72" s="28" t="n">
        <x:v>271.5</x:v>
      </x:c>
      <x:c r="J72" s="29" t="n">
        <x:v>22</x:v>
      </x:c>
      <x:c r="K72" s="27" t="str"/>
      <x:c r="L72" s="27" t="str"/>
      <x:c r="M72" s="27" t="str"/>
      <x:c r="N72" s="27" t="str">
        <x:v>BLACK+DECKER</x:v>
      </x:c>
      <x:c r="O72" s="27" t="str"/>
      <x:c r="P72" s="27" t="str">
        <x:v>Catalogo Black+Decker Lo Specialista 2026, pagina 84. Prezzi se presenti: raccomandati dal catalogo.</x:v>
      </x:c>
      <x:c r="Q72" s="30" t="str">
        <x:v>2026-06-10</x:v>
      </x:c>
      <x:c r="R72" s="27" t="n">
        <x:v>84</x:v>
      </x:c>
      <x:c r="S72" s="27" t="str">
        <x:v>B+D_CATALOGO Lo Specialista 2026.pdf</x:v>
      </x:c>
    </x:row>
    <x:row r="73">
      <x:c r="A73" s="27" t="str">
        <x:v>BD-0072</x:v>
      </x:c>
      <x:c r="B73" s="27" t="str">
        <x:v>5035048723234</x:v>
      </x:c>
      <x:c r="C73" s="27" t="str">
        <x:v>BCMW3318N-XJ</x:v>
      </x:c>
      <x:c r="D73" s="27" t="str">
        <x:v>Rasaerba a batteria 36V (solo corpo macchina)</x:v>
      </x:c>
      <x:c r="E73" s="27" t="str">
        <x:v>BLACK+DECKER</x:v>
      </x:c>
      <x:c r="F73" s="27" t="str">
        <x:v>GAMMA GIARDINO</x:v>
      </x:c>
      <x:c r="G73" s="27" t="str">
        <x:v>RASAERBA</x:v>
      </x:c>
      <x:c r="H73" s="28" t="n">
        <x:v>172.5</x:v>
      </x:c>
      <x:c r="I73" s="28" t="n">
        <x:v>210.5</x:v>
      </x:c>
      <x:c r="J73" s="29" t="n">
        <x:v>22</x:v>
      </x:c>
      <x:c r="K73" s="27" t="str"/>
      <x:c r="L73" s="27" t="str"/>
      <x:c r="M73" s="27" t="str"/>
      <x:c r="N73" s="27" t="str">
        <x:v>BLACK+DECKER</x:v>
      </x:c>
      <x:c r="O73" s="27" t="str"/>
      <x:c r="P73" s="27" t="str">
        <x:v>Catalogo Black+Decker Lo Specialista 2026, pagina 84. Prezzi se presenti: raccomandati dal catalogo.</x:v>
      </x:c>
      <x:c r="Q73" s="30" t="str">
        <x:v>2026-06-10</x:v>
      </x:c>
      <x:c r="R73" s="27" t="n">
        <x:v>84</x:v>
      </x:c>
      <x:c r="S73" s="27" t="str">
        <x:v>B+D_CATALOGO Lo Specialista 2026.pdf</x:v>
      </x:c>
    </x:row>
    <x:row r="74">
      <x:c r="A74" s="27" t="str">
        <x:v>BD-0073</x:v>
      </x:c>
      <x:c r="B74" s="27" t="str">
        <x:v>5035048723319</x:v>
      </x:c>
      <x:c r="C74" s="27" t="str">
        <x:v>BCMW3336L1-QW</x:v>
      </x:c>
      <x:c r="D74" s="27" t="str">
        <x:v>Rasaerba a batteria 36V</x:v>
      </x:c>
      <x:c r="E74" s="27" t="str">
        <x:v>BLACK+DECKER</x:v>
      </x:c>
      <x:c r="F74" s="27" t="str">
        <x:v>GAMMA GIARDINO</x:v>
      </x:c>
      <x:c r="G74" s="27" t="str">
        <x:v>RASAERBA</x:v>
      </x:c>
      <x:c r="H74" s="28" t="n">
        <x:v>233.9</x:v>
      </x:c>
      <x:c r="I74" s="28" t="n">
        <x:v>285.4</x:v>
      </x:c>
      <x:c r="J74" s="29" t="n">
        <x:v>22</x:v>
      </x:c>
      <x:c r="K74" s="27" t="str"/>
      <x:c r="L74" s="27" t="str"/>
      <x:c r="M74" s="27" t="str"/>
      <x:c r="N74" s="27" t="str">
        <x:v>BLACK+DECKER</x:v>
      </x:c>
      <x:c r="O74" s="27" t="str"/>
      <x:c r="P74" s="27" t="str">
        <x:v>Catalogo Black+Decker Lo Specialista 2026, pagina 84. Prezzi se presenti: raccomandati dal catalogo.</x:v>
      </x:c>
      <x:c r="Q74" s="30" t="str">
        <x:v>2026-06-10</x:v>
      </x:c>
      <x:c r="R74" s="27" t="n">
        <x:v>84</x:v>
      </x:c>
      <x:c r="S74" s="27" t="str">
        <x:v>B+D_CATALOGO Lo Specialista 2026.pdf</x:v>
      </x:c>
    </x:row>
    <x:row r="75">
      <x:c r="A75" s="27" t="str">
        <x:v>BD-0074</x:v>
      </x:c>
      <x:c r="B75" s="27" t="str">
        <x:v>5035048723357</x:v>
      </x:c>
      <x:c r="C75" s="27" t="str">
        <x:v>BCMW3336L2-QW</x:v>
      </x:c>
      <x:c r="D75" s="27" t="str">
        <x:v>Rasaerba con doppia batteria 36V</x:v>
      </x:c>
      <x:c r="E75" s="27" t="str">
        <x:v>BLACK+DECKER</x:v>
      </x:c>
      <x:c r="F75" s="27" t="str">
        <x:v>GAMMA GIARDINO</x:v>
      </x:c>
      <x:c r="G75" s="27" t="str">
        <x:v>RASAERBA</x:v>
      </x:c>
      <x:c r="H75" s="28" t="n">
        <x:v>308.4</x:v>
      </x:c>
      <x:c r="I75" s="28" t="n">
        <x:v>376.2</x:v>
      </x:c>
      <x:c r="J75" s="29" t="n">
        <x:v>22</x:v>
      </x:c>
      <x:c r="K75" s="27" t="str"/>
      <x:c r="L75" s="27" t="str"/>
      <x:c r="M75" s="27" t="str"/>
      <x:c r="N75" s="27" t="str">
        <x:v>BLACK+DECKER</x:v>
      </x:c>
      <x:c r="O75" s="27" t="str"/>
      <x:c r="P75" s="27" t="str">
        <x:v>Catalogo Black+Decker Lo Specialista 2026, pagina 84. Prezzi se presenti: raccomandati dal catalogo.</x:v>
      </x:c>
      <x:c r="Q75" s="30" t="str">
        <x:v>2026-06-10</x:v>
      </x:c>
      <x:c r="R75" s="27" t="n">
        <x:v>84</x:v>
      </x:c>
      <x:c r="S75" s="27" t="str">
        <x:v>B+D_CATALOGO Lo Specialista 2026.pdf</x:v>
      </x:c>
    </x:row>
    <x:row r="76">
      <x:c r="A76" s="27" t="str">
        <x:v>BD-0075</x:v>
      </x:c>
      <x:c r="B76" s="27" t="str">
        <x:v>5035048723302</x:v>
      </x:c>
      <x:c r="C76" s="27" t="str">
        <x:v>BCMW3336N-XJ</x:v>
      </x:c>
      <x:c r="D76" s="27" t="str">
        <x:v>Rasaerba a batteria 36V (solo corpo macchina)</x:v>
      </x:c>
      <x:c r="E76" s="27" t="str">
        <x:v>BLACK+DECKER</x:v>
      </x:c>
      <x:c r="F76" s="27" t="str">
        <x:v>GAMMA GIARDINO</x:v>
      </x:c>
      <x:c r="G76" s="27" t="str">
        <x:v>RASAERBA</x:v>
      </x:c>
      <x:c r="H76" s="28" t="n">
        <x:v>163.9</x:v>
      </x:c>
      <x:c r="I76" s="28" t="n">
        <x:v>200</x:v>
      </x:c>
      <x:c r="J76" s="29" t="n">
        <x:v>22</x:v>
      </x:c>
      <x:c r="K76" s="27" t="str"/>
      <x:c r="L76" s="27" t="str"/>
      <x:c r="M76" s="27" t="str"/>
      <x:c r="N76" s="27" t="str">
        <x:v>BLACK+DECKER</x:v>
      </x:c>
      <x:c r="O76" s="27" t="str"/>
      <x:c r="P76" s="27" t="str">
        <x:v>Catalogo Black+Decker Lo Specialista 2026, pagina 84. Prezzi se presenti: raccomandati dal catalogo.</x:v>
      </x:c>
      <x:c r="Q76" s="30" t="str">
        <x:v>2026-06-10</x:v>
      </x:c>
      <x:c r="R76" s="27" t="n">
        <x:v>84</x:v>
      </x:c>
      <x:c r="S76" s="27" t="str">
        <x:v>B+D_CATALOGO Lo Specialista 2026.pdf</x:v>
      </x:c>
    </x:row>
    <x:row r="77">
      <x:c r="A77" s="27" t="str">
        <x:v>BD-0076</x:v>
      </x:c>
      <x:c r="B77" s="27" t="str">
        <x:v>5035048788639</x:v>
      </x:c>
      <x:c r="C77" s="27" t="str">
        <x:v>BCN115-XJ</x:v>
      </x:c>
      <x:c r="D77" s="27" t="str">
        <x:v>Graffatrice</x:v>
      </x:c>
      <x:c r="E77" s="27" t="str">
        <x:v>BLACK+DECKER</x:v>
      </x:c>
      <x:c r="F77" s="27" t="str">
        <x:v>ELETTROUTENSILI</x:v>
      </x:c>
      <x:c r="G77" s="27" t="str">
        <x:v>UTENSILI PER DECORAZIONE</x:v>
      </x:c>
      <x:c r="H77" s="28" t="n">
        <x:v>49.1</x:v>
      </x:c>
      <x:c r="I77" s="28" t="n">
        <x:v>59.9</x:v>
      </x:c>
      <x:c r="J77" s="29" t="n">
        <x:v>22</x:v>
      </x:c>
      <x:c r="K77" s="27" t="str"/>
      <x:c r="L77" s="27" t="str"/>
      <x:c r="M77" s="27" t="str"/>
      <x:c r="N77" s="27" t="str">
        <x:v>BLACK+DECKER</x:v>
      </x:c>
      <x:c r="O77" s="27" t="str"/>
      <x:c r="P77" s="27" t="str">
        <x:v>Catalogo Black+Decker Lo Specialista 2026, pagina 60. Prezzi se presenti: raccomandati dal catalogo.</x:v>
      </x:c>
      <x:c r="Q77" s="30" t="str">
        <x:v>2026-06-10</x:v>
      </x:c>
      <x:c r="R77" s="27" t="n">
        <x:v>60</x:v>
      </x:c>
      <x:c r="S77" s="27" t="str">
        <x:v>B+D_CATALOGO Lo Specialista 2026.pdf</x:v>
      </x:c>
    </x:row>
    <x:row r="78">
      <x:c r="A78" s="27" t="str">
        <x:v>BD-0077</x:v>
      </x:c>
      <x:c r="B78" s="27" t="str">
        <x:v>5035048737200</x:v>
      </x:c>
      <x:c r="C78" s="27" t="str">
        <x:v>BCPC18B-XJ</x:v>
      </x:c>
      <x:c r="D78" s="27" t="str">
        <x:v>Idropistola a batteria (solo corpo macchina)</x:v>
      </x:c>
      <x:c r="E78" s="27" t="str">
        <x:v>BLACK+DECKER</x:v>
      </x:c>
      <x:c r="F78" s="27" t="str">
        <x:v>GAMMA GIARDINO</x:v>
      </x:c>
      <x:c r="G78" s="27" t="str">
        <x:v>ALTRI UTENSILI DA GIARDINO</x:v>
      </x:c>
      <x:c r="H78" s="28" t="n">
        <x:v>90.1</x:v>
      </x:c>
      <x:c r="I78" s="28" t="n">
        <x:v>109.9</x:v>
      </x:c>
      <x:c r="J78" s="29" t="n">
        <x:v>22</x:v>
      </x:c>
      <x:c r="K78" s="27" t="str"/>
      <x:c r="L78" s="27" t="str"/>
      <x:c r="M78" s="27" t="str"/>
      <x:c r="N78" s="27" t="str">
        <x:v>BLACK+DECKER</x:v>
      </x:c>
      <x:c r="O78" s="27" t="str"/>
      <x:c r="P78" s="27" t="str">
        <x:v>Catalogo Black+Decker Lo Specialista 2026, pagina 119. Prezzi se presenti: raccomandati dal catalogo.</x:v>
      </x:c>
      <x:c r="Q78" s="30" t="str">
        <x:v>2026-06-10</x:v>
      </x:c>
      <x:c r="R78" s="27" t="n">
        <x:v>119</x:v>
      </x:c>
      <x:c r="S78" s="27" t="str">
        <x:v>B+D_CATALOGO Lo Specialista 2026.pdf</x:v>
      </x:c>
    </x:row>
    <x:row r="79">
      <x:c r="A79" s="27" t="str">
        <x:v>BD-0078</x:v>
      </x:c>
      <x:c r="B79" s="27" t="str">
        <x:v>5035048737460</x:v>
      </x:c>
      <x:c r="C79" s="27" t="str">
        <x:v>BCPC18D1-QW</x:v>
      </x:c>
      <x:c r="D79" s="27" t="str">
        <x:v>Idropistola a batteria</x:v>
      </x:c>
      <x:c r="E79" s="27" t="str">
        <x:v>BLACK+DECKER</x:v>
      </x:c>
      <x:c r="F79" s="27" t="str">
        <x:v>GAMMA GIARDINO</x:v>
      </x:c>
      <x:c r="G79" s="27" t="str">
        <x:v>ALTRI UTENSILI DA GIARDINO</x:v>
      </x:c>
      <x:c r="H79" s="28" t="n">
        <x:v>122.9</x:v>
      </x:c>
      <x:c r="I79" s="28" t="n">
        <x:v>149.9</x:v>
      </x:c>
      <x:c r="J79" s="29" t="n">
        <x:v>22</x:v>
      </x:c>
      <x:c r="K79" s="27" t="str"/>
      <x:c r="L79" s="27" t="str"/>
      <x:c r="M79" s="27" t="str"/>
      <x:c r="N79" s="27" t="str">
        <x:v>BLACK+DECKER</x:v>
      </x:c>
      <x:c r="O79" s="27" t="str"/>
      <x:c r="P79" s="27" t="str">
        <x:v>Catalogo Black+Decker Lo Specialista 2026, pagina 119. Prezzi se presenti: raccomandati dal catalogo.</x:v>
      </x:c>
      <x:c r="Q79" s="30" t="str">
        <x:v>2026-06-10</x:v>
      </x:c>
      <x:c r="R79" s="27" t="n">
        <x:v>119</x:v>
      </x:c>
      <x:c r="S79" s="27" t="str">
        <x:v>B+D_CATALOGO Lo Specialista 2026.pdf</x:v>
      </x:c>
    </x:row>
    <x:row r="80">
      <x:c r="A80" s="27" t="str">
        <x:v>BD-0079</x:v>
      </x:c>
      <x:c r="B80" s="27" t="str">
        <x:v>5035048788448</x:v>
      </x:c>
      <x:c r="C80" s="27" t="str">
        <x:v>BCPP18B-XJ</x:v>
      </x:c>
      <x:c r="D80" s="27" t="str">
        <x:v>Potatore a batteria 18V (solo corpo macchina)</x:v>
      </x:c>
      <x:c r="E80" s="27" t="str">
        <x:v>BLACK+DECKER</x:v>
      </x:c>
      <x:c r="F80" s="27" t="str">
        <x:v>GAMMA GIARDINO</x:v>
      </x:c>
      <x:c r="G80" s="27" t="str">
        <x:v>ELETTROSEGHE E POTATORI</x:v>
      </x:c>
      <x:c r="H80" s="28" t="n">
        <x:v>106.5</x:v>
      </x:c>
      <x:c r="I80" s="28" t="n">
        <x:v>129.9</x:v>
      </x:c>
      <x:c r="J80" s="29" t="n">
        <x:v>22</x:v>
      </x:c>
      <x:c r="K80" s="27" t="str"/>
      <x:c r="L80" s="27" t="str"/>
      <x:c r="M80" s="27" t="str"/>
      <x:c r="N80" s="27" t="str">
        <x:v>BLACK+DECKER</x:v>
      </x:c>
      <x:c r="O80" s="27" t="str"/>
      <x:c r="P80" s="27" t="str">
        <x:v>Catalogo Black+Decker Lo Specialista 2026, pagina 108. Prezzi se presenti: raccomandati dal catalogo.</x:v>
      </x:c>
      <x:c r="Q80" s="30" t="str">
        <x:v>2026-06-10</x:v>
      </x:c>
      <x:c r="R80" s="27" t="n">
        <x:v>108</x:v>
      </x:c>
      <x:c r="S80" s="27" t="str">
        <x:v>B+D_CATALOGO Lo Specialista 2026.pdf</x:v>
      </x:c>
    </x:row>
    <x:row r="81">
      <x:c r="A81" s="27" t="str">
        <x:v>BD-0080</x:v>
      </x:c>
      <x:c r="B81" s="27" t="str">
        <x:v>5035048788462</x:v>
      </x:c>
      <x:c r="C81" s="27" t="str">
        <x:v>BCPP18D1-QW</x:v>
      </x:c>
      <x:c r="D81" s="27" t="str">
        <x:v>Potatore a batteria 18V</x:v>
      </x:c>
      <x:c r="E81" s="27" t="str">
        <x:v>BLACK+DECKER</x:v>
      </x:c>
      <x:c r="F81" s="27" t="str">
        <x:v>GAMMA GIARDINO</x:v>
      </x:c>
      <x:c r="G81" s="27" t="str">
        <x:v>ELETTROSEGHE E POTATORI</x:v>
      </x:c>
      <x:c r="H81" s="28"/>
      <x:c r="I81" s="28"/>
      <x:c r="J81" s="29" t="n">
        <x:v>22</x:v>
      </x:c>
      <x:c r="K81" s="27" t="str"/>
      <x:c r="L81" s="27" t="str"/>
      <x:c r="M81" s="27" t="str"/>
      <x:c r="N81" s="27" t="str">
        <x:v>BLACK+DECKER</x:v>
      </x:c>
      <x:c r="O81" s="27" t="str"/>
      <x:c r="P81" s="27" t="str">
        <x:v>Catalogo Black+Decker Lo Specialista 2026, pagina 108. Prezzi se presenti: raccomandati dal catalogo.</x:v>
      </x:c>
      <x:c r="Q81" s="30" t="str">
        <x:v>2026-06-10</x:v>
      </x:c>
      <x:c r="R81" s="27" t="n">
        <x:v>108</x:v>
      </x:c>
      <x:c r="S81" s="27" t="str">
        <x:v>B+D_CATALOGO Lo Specialista 2026.pdf</x:v>
      </x:c>
    </x:row>
    <x:row r="82">
      <x:c r="A82" s="27" t="str">
        <x:v>BD-0081</x:v>
      </x:c>
      <x:c r="B82" s="27" t="str">
        <x:v>5035048796863</x:v>
      </x:c>
      <x:c r="C82" s="27" t="str">
        <x:v>BCPPRB1-XJ</x:v>
      </x:c>
      <x:c r="D82" s="27" t="str">
        <x:v>Lama per Potatorino 18V (cod. BCPP18D1-QW, BCPP18B-XJ)</x:v>
      </x:c>
      <x:c r="E82" s="27" t="str">
        <x:v>BLACK+DECKER</x:v>
      </x:c>
      <x:c r="F82" s="27" t="str">
        <x:v>GAMMA GIARDINO</x:v>
      </x:c>
      <x:c r="G82" s="27" t="str">
        <x:v>ACCESSORI GIARDINO</x:v>
      </x:c>
      <x:c r="H82" s="28" t="n">
        <x:v>81.9</x:v>
      </x:c>
      <x:c r="I82" s="28" t="n">
        <x:v>99.9</x:v>
      </x:c>
      <x:c r="J82" s="29" t="n">
        <x:v>22</x:v>
      </x:c>
      <x:c r="K82" s="27" t="str"/>
      <x:c r="L82" s="27" t="str"/>
      <x:c r="M82" s="27" t="str"/>
      <x:c r="N82" s="27" t="str">
        <x:v>BLACK+DECKER</x:v>
      </x:c>
      <x:c r="O82" s="27" t="str"/>
      <x:c r="P82" s="27" t="str">
        <x:v>Catalogo Black+Decker Lo Specialista 2026, pagina 109. Prezzi se presenti: raccomandati dal catalogo.</x:v>
      </x:c>
      <x:c r="Q82" s="30" t="str">
        <x:v>2026-06-10</x:v>
      </x:c>
      <x:c r="R82" s="27" t="n">
        <x:v>109</x:v>
      </x:c>
      <x:c r="S82" s="27" t="str">
        <x:v>B+D_CATALOGO Lo Specialista 2026.pdf</x:v>
      </x:c>
    </x:row>
    <x:row r="83">
      <x:c r="A83" s="27" t="str">
        <x:v>BD-0082</x:v>
      </x:c>
      <x:c r="B83" s="27" t="str">
        <x:v>5035048788592</x:v>
      </x:c>
      <x:c r="C83" s="27" t="str">
        <x:v>BCRC115-XJ</x:v>
      </x:c>
      <x:c r="D83" s="27" t="str">
        <x:v>Taglierino elettrico</x:v>
      </x:c>
      <x:c r="E83" s="27" t="str">
        <x:v>BLACK+DECKER</x:v>
      </x:c>
      <x:c r="F83" s="27" t="str">
        <x:v>ELETTROUTENSILI</x:v>
      </x:c>
      <x:c r="G83" s="27" t="str">
        <x:v>UTENSILI PER DECORAZIONE</x:v>
      </x:c>
      <x:c r="H83" s="28" t="n">
        <x:v>32.7</x:v>
      </x:c>
      <x:c r="I83" s="28" t="n">
        <x:v>39.9</x:v>
      </x:c>
      <x:c r="J83" s="29" t="n">
        <x:v>22</x:v>
      </x:c>
      <x:c r="K83" s="27" t="str"/>
      <x:c r="L83" s="27" t="str"/>
      <x:c r="M83" s="27" t="str"/>
      <x:c r="N83" s="27" t="str">
        <x:v>BLACK+DECKER</x:v>
      </x:c>
      <x:c r="O83" s="27" t="str"/>
      <x:c r="P83" s="27" t="str">
        <x:v>Catalogo Black+Decker Lo Specialista 2026, pagina 61. Prezzi se presenti: raccomandati dal catalogo.</x:v>
      </x:c>
      <x:c r="Q83" s="30" t="str">
        <x:v>2026-06-10</x:v>
      </x:c>
      <x:c r="R83" s="27" t="n">
        <x:v>61</x:v>
      </x:c>
      <x:c r="S83" s="27" t="str">
        <x:v>B+D_CATALOGO Lo Specialista 2026.pdf</x:v>
      </x:c>
    </x:row>
    <x:row r="84">
      <x:c r="A84" s="27" t="str">
        <x:v>BD-0083</x:v>
      </x:c>
      <x:c r="B84" s="27" t="str">
        <x:v>5035048741412</x:v>
      </x:c>
      <x:c r="C84" s="27" t="str">
        <x:v>BCRT8I-XJ</x:v>
      </x:c>
      <x:c r="D84" s="27" t="str">
        <x:v>Utensile multifunzione rotativo con 36 accessori</x:v>
      </x:c>
      <x:c r="E84" s="27" t="str">
        <x:v>BLACK+DECKER</x:v>
      </x:c>
      <x:c r="F84" s="27" t="str">
        <x:v>ELETTROUTENSILI</x:v>
      </x:c>
      <x:c r="G84" s="27" t="str">
        <x:v>PIALLETTI, ELETTROFRESATRICI ED ALTRI UTENSILI</x:v>
      </x:c>
      <x:c r="H84" s="28" t="n">
        <x:v>36.8</x:v>
      </x:c>
      <x:c r="I84" s="28" t="n">
        <x:v>44.9</x:v>
      </x:c>
      <x:c r="J84" s="29" t="n">
        <x:v>22</x:v>
      </x:c>
      <x:c r="K84" s="27" t="str"/>
      <x:c r="L84" s="27" t="str"/>
      <x:c r="M84" s="27" t="str"/>
      <x:c r="N84" s="27" t="str">
        <x:v>BLACK+DECKER</x:v>
      </x:c>
      <x:c r="O84" s="27" t="str"/>
      <x:c r="P84" s="27" t="str">
        <x:v>Catalogo Black+Decker Lo Specialista 2026, pagina 58. Prezzi se presenti: raccomandati dal catalogo.</x:v>
      </x:c>
      <x:c r="Q84" s="30" t="str">
        <x:v>2026-06-10</x:v>
      </x:c>
      <x:c r="R84" s="27" t="n">
        <x:v>58</x:v>
      </x:c>
      <x:c r="S84" s="27" t="str">
        <x:v>B+D_CATALOGO Lo Specialista 2026.pdf</x:v>
      </x:c>
    </x:row>
    <x:row r="85">
      <x:c r="A85" s="27" t="str">
        <x:v>BD-0084</x:v>
      </x:c>
      <x:c r="B85" s="27" t="str">
        <x:v>5035048733844</x:v>
      </x:c>
      <x:c r="C85" s="27" t="str">
        <x:v>BCRTA01-XJ</x:v>
      </x:c>
      <x:c r="D85" s="27" t="str">
        <x:v>Svitavvita per mobili HEX DRIVER</x:v>
      </x:c>
      <x:c r="E85" s="27" t="str">
        <x:v>BLACK+DECKER</x:v>
      </x:c>
      <x:c r="F85" s="27" t="str">
        <x:v>ELETTROUTENSILI</x:v>
      </x:c>
      <x:c r="G85" s="27" t="str">
        <x:v>SVITAVVITA</x:v>
      </x:c>
      <x:c r="H85" s="28" t="n">
        <x:v>27</x:v>
      </x:c>
      <x:c r="I85" s="28" t="n">
        <x:v>32.9</x:v>
      </x:c>
      <x:c r="J85" s="29" t="n">
        <x:v>22</x:v>
      </x:c>
      <x:c r="K85" s="27" t="str"/>
      <x:c r="L85" s="27" t="str"/>
      <x:c r="M85" s="27" t="str"/>
      <x:c r="N85" s="27" t="str">
        <x:v>BLACK+DECKER</x:v>
      </x:c>
      <x:c r="O85" s="27" t="str"/>
      <x:c r="P85" s="27" t="str">
        <x:v>Catalogo Black+Decker Lo Specialista 2026, pagina 26. Prezzi se presenti: raccomandati dal catalogo.</x:v>
      </x:c>
      <x:c r="Q85" s="30" t="str">
        <x:v>2026-06-10</x:v>
      </x:c>
      <x:c r="R85" s="27" t="n">
        <x:v>26</x:v>
      </x:c>
      <x:c r="S85" s="27" t="str">
        <x:v>B+D_CATALOGO Lo Specialista 2026.pdf</x:v>
      </x:c>
    </x:row>
    <x:row r="86">
      <x:c r="A86" s="27" t="str">
        <x:v>BD-0085</x:v>
      </x:c>
      <x:c r="B86" s="27" t="str">
        <x:v>5035048788615</x:v>
      </x:c>
      <x:c r="C86" s="27" t="str">
        <x:v>BCSC115-XJ</x:v>
      </x:c>
      <x:c r="D86" s="27" t="str">
        <x:v>Forbici elettriche</x:v>
      </x:c>
      <x:c r="E86" s="27" t="str">
        <x:v>BLACK+DECKER</x:v>
      </x:c>
      <x:c r="F86" s="27" t="str">
        <x:v>ELETTROUTENSILI</x:v>
      </x:c>
      <x:c r="G86" s="27" t="str">
        <x:v>UTENSILI PER DECORAZIONE</x:v>
      </x:c>
      <x:c r="H86" s="28" t="n">
        <x:v>32.7</x:v>
      </x:c>
      <x:c r="I86" s="28" t="n">
        <x:v>39.9</x:v>
      </x:c>
      <x:c r="J86" s="29" t="n">
        <x:v>22</x:v>
      </x:c>
      <x:c r="K86" s="27" t="str"/>
      <x:c r="L86" s="27" t="str"/>
      <x:c r="M86" s="27" t="str"/>
      <x:c r="N86" s="27" t="str">
        <x:v>BLACK+DECKER</x:v>
      </x:c>
      <x:c r="O86" s="27" t="str"/>
      <x:c r="P86" s="27" t="str">
        <x:v>Catalogo Black+Decker Lo Specialista 2026, pagina 62. Prezzi se presenti: raccomandati dal catalogo.</x:v>
      </x:c>
      <x:c r="Q86" s="30" t="str">
        <x:v>2026-06-10</x:v>
      </x:c>
      <x:c r="R86" s="27" t="n">
        <x:v>62</x:v>
      </x:c>
      <x:c r="S86" s="27" t="str">
        <x:v>B+D_CATALOGO Lo Specialista 2026.pdf</x:v>
      </x:c>
    </x:row>
    <x:row r="87">
      <x:c r="A87" s="27" t="str">
        <x:v>BD-0086</x:v>
      </x:c>
      <x:c r="B87" s="27" t="str">
        <x:v>5035048736913</x:v>
      </x:c>
      <x:c r="C87" s="27" t="str">
        <x:v>BCSS18B-XJ</x:v>
      </x:c>
      <x:c r="D87" s="27" t="str">
        <x:v>Cesoia sfoltirami a batteria (solo corpo macchina)</x:v>
      </x:c>
      <x:c r="E87" s="27" t="str">
        <x:v>BLACK+DECKER</x:v>
      </x:c>
      <x:c r="F87" s="27" t="str">
        <x:v>GAMMA GIARDINO</x:v>
      </x:c>
      <x:c r="G87" s="27" t="str">
        <x:v>TAGLIASIEPI E CESOIE</x:v>
      </x:c>
      <x:c r="H87" s="28" t="n">
        <x:v>53.2</x:v>
      </x:c>
      <x:c r="I87" s="28" t="n">
        <x:v>64.9</x:v>
      </x:c>
      <x:c r="J87" s="29" t="n">
        <x:v>22</x:v>
      </x:c>
      <x:c r="K87" s="27" t="str"/>
      <x:c r="L87" s="27" t="str"/>
      <x:c r="M87" s="27" t="str"/>
      <x:c r="N87" s="27" t="str">
        <x:v>BLACK+DECKER</x:v>
      </x:c>
      <x:c r="O87" s="27" t="str"/>
      <x:c r="P87" s="27" t="str">
        <x:v>Catalogo Black+Decker Lo Specialista 2026, pagina 116. Prezzi se presenti: raccomandati dal catalogo.</x:v>
      </x:c>
      <x:c r="Q87" s="30" t="str">
        <x:v>2026-06-10</x:v>
      </x:c>
      <x:c r="R87" s="27" t="n">
        <x:v>116</x:v>
      </x:c>
      <x:c r="S87" s="27" t="str">
        <x:v>B+D_CATALOGO Lo Specialista 2026.pdf</x:v>
      </x:c>
    </x:row>
    <x:row r="88">
      <x:c r="A88" s="27" t="str">
        <x:v>BD-0087</x:v>
      </x:c>
      <x:c r="B88" s="27" t="str">
        <x:v>5035048737224</x:v>
      </x:c>
      <x:c r="C88" s="27" t="str">
        <x:v>BCSS18D1-QW</x:v>
      </x:c>
      <x:c r="D88" s="27" t="str">
        <x:v>Cesoia sfoltirami</x:v>
      </x:c>
      <x:c r="E88" s="27" t="str">
        <x:v>BLACK+DECKER</x:v>
      </x:c>
      <x:c r="F88" s="27" t="str">
        <x:v>GAMMA GIARDINO</x:v>
      </x:c>
      <x:c r="G88" s="27" t="str">
        <x:v>TAGLIASIEPI E CESOIE</x:v>
      </x:c>
      <x:c r="H88" s="28" t="n">
        <x:v>98.3</x:v>
      </x:c>
      <x:c r="I88" s="28" t="n">
        <x:v>119.9</x:v>
      </x:c>
      <x:c r="J88" s="29" t="n">
        <x:v>22</x:v>
      </x:c>
      <x:c r="K88" s="27" t="str"/>
      <x:c r="L88" s="27" t="str"/>
      <x:c r="M88" s="27" t="str"/>
      <x:c r="N88" s="27" t="str">
        <x:v>BLACK+DECKER</x:v>
      </x:c>
      <x:c r="O88" s="27" t="str"/>
      <x:c r="P88" s="27" t="str">
        <x:v>Catalogo Black+Decker Lo Specialista 2026, pagina 116. Prezzi se presenti: raccomandati dal catalogo.</x:v>
      </x:c>
      <x:c r="Q88" s="30" t="str">
        <x:v>2026-06-10</x:v>
      </x:c>
      <x:c r="R88" s="27" t="n">
        <x:v>116</x:v>
      </x:c>
      <x:c r="S88" s="27" t="str">
        <x:v>B+D_CATALOGO Lo Specialista 2026.pdf</x:v>
      </x:c>
    </x:row>
    <x:row r="89">
      <x:c r="A89" s="27" t="str">
        <x:v>BD-0088</x:v>
      </x:c>
      <x:c r="B89" s="27" t="str">
        <x:v>5035048834787</x:v>
      </x:c>
      <x:c r="C89" s="27" t="str">
        <x:v>BCST918B-XJ</x:v>
      </x:c>
      <x:c r="D89" s="27" t="str">
        <x:v>Tagliabordi a batteria 18V (solo corpo macchina)</x:v>
      </x:c>
      <x:c r="E89" s="27" t="str">
        <x:v>BLACK+DECKER</x:v>
      </x:c>
      <x:c r="F89" s="27" t="str">
        <x:v>GAMMA GIARDINO</x:v>
      </x:c>
      <x:c r="G89" s="27" t="str">
        <x:v>TAGLIABORDI</x:v>
      </x:c>
      <x:c r="H89" s="28" t="n">
        <x:v>73.7</x:v>
      </x:c>
      <x:c r="I89" s="28" t="n">
        <x:v>89.9</x:v>
      </x:c>
      <x:c r="J89" s="29" t="n">
        <x:v>22</x:v>
      </x:c>
      <x:c r="K89" s="27" t="str"/>
      <x:c r="L89" s="27" t="str"/>
      <x:c r="M89" s="27" t="str"/>
      <x:c r="N89" s="27" t="str">
        <x:v>BLACK+DECKER</x:v>
      </x:c>
      <x:c r="O89" s="27" t="str"/>
      <x:c r="P89" s="27" t="str">
        <x:v>Catalogo Black+Decker Lo Specialista 2026, pagina 95. Prezzi se presenti: raccomandati dal catalogo.</x:v>
      </x:c>
      <x:c r="Q89" s="30" t="str">
        <x:v>2026-06-10</x:v>
      </x:c>
      <x:c r="R89" s="27" t="n">
        <x:v>95</x:v>
      </x:c>
      <x:c r="S89" s="27" t="str">
        <x:v>B+D_CATALOGO Lo Specialista 2026.pdf</x:v>
      </x:c>
    </x:row>
    <x:row r="90">
      <x:c r="A90" s="27" t="str">
        <x:v>BD-0089</x:v>
      </x:c>
      <x:c r="B90" s="27" t="str">
        <x:v>5035048834817</x:v>
      </x:c>
      <x:c r="C90" s="27" t="str">
        <x:v>BCST918D1-QW</x:v>
      </x:c>
      <x:c r="D90" s="27" t="str">
        <x:v>Tagliabordi a batteria 18V</x:v>
      </x:c>
      <x:c r="E90" s="27" t="str">
        <x:v>BLACK+DECKER</x:v>
      </x:c>
      <x:c r="F90" s="27" t="str">
        <x:v>GAMMA GIARDINO</x:v>
      </x:c>
      <x:c r="G90" s="27" t="str">
        <x:v>TAGLIABORDI</x:v>
      </x:c>
      <x:c r="H90" s="28" t="n">
        <x:v>98.3</x:v>
      </x:c>
      <x:c r="I90" s="28" t="n">
        <x:v>119.9</x:v>
      </x:c>
      <x:c r="J90" s="29" t="n">
        <x:v>22</x:v>
      </x:c>
      <x:c r="K90" s="27" t="str"/>
      <x:c r="L90" s="27" t="str"/>
      <x:c r="M90" s="27" t="str"/>
      <x:c r="N90" s="27" t="str">
        <x:v>BLACK+DECKER</x:v>
      </x:c>
      <x:c r="O90" s="27" t="str"/>
      <x:c r="P90" s="27" t="str">
        <x:v>Catalogo Black+Decker Lo Specialista 2026, pagina 95. Prezzi se presenti: raccomandati dal catalogo.</x:v>
      </x:c>
      <x:c r="Q90" s="30" t="str">
        <x:v>2026-06-10</x:v>
      </x:c>
      <x:c r="R90" s="27" t="n">
        <x:v>95</x:v>
      </x:c>
      <x:c r="S90" s="27" t="str">
        <x:v>B+D_CATALOGO Lo Specialista 2026.pdf</x:v>
      </x:c>
    </x:row>
    <x:row r="91">
      <x:c r="A91" s="27" t="str">
        <x:v>BD-0090</x:v>
      </x:c>
      <x:c r="B91" s="27" t="str">
        <x:v>5035048723456</x:v>
      </x:c>
      <x:c r="C91" s="27" t="str">
        <x:v>BCSTE636L1-QW</x:v>
      </x:c>
      <x:c r="D91" s="27" t="str">
        <x:v>Tagliabordi a batteria 36V</x:v>
      </x:c>
      <x:c r="E91" s="27" t="str">
        <x:v>BLACK+DECKER</x:v>
      </x:c>
      <x:c r="F91" s="27" t="str">
        <x:v>GAMMA GIARDINO</x:v>
      </x:c>
      <x:c r="G91" s="27" t="str">
        <x:v>TAGLIABORDI</x:v>
      </x:c>
      <x:c r="H91" s="28" t="n">
        <x:v>180.3</x:v>
      </x:c>
      <x:c r="I91" s="28" t="n">
        <x:v>220</x:v>
      </x:c>
      <x:c r="J91" s="29" t="n">
        <x:v>22</x:v>
      </x:c>
      <x:c r="K91" s="27" t="str"/>
      <x:c r="L91" s="27" t="str"/>
      <x:c r="M91" s="27" t="str"/>
      <x:c r="N91" s="27" t="str">
        <x:v>BLACK+DECKER</x:v>
      </x:c>
      <x:c r="O91" s="27" t="str"/>
      <x:c r="P91" s="27" t="str">
        <x:v>Catalogo Black+Decker Lo Specialista 2026, pagina 96. Prezzi se presenti: raccomandati dal catalogo.</x:v>
      </x:c>
      <x:c r="Q91" s="30" t="str">
        <x:v>2026-06-10</x:v>
      </x:c>
      <x:c r="R91" s="27" t="n">
        <x:v>96</x:v>
      </x:c>
      <x:c r="S91" s="27" t="str">
        <x:v>B+D_CATALOGO Lo Specialista 2026.pdf</x:v>
      </x:c>
    </x:row>
    <x:row r="92">
      <x:c r="A92" s="27" t="str">
        <x:v>BD-0091</x:v>
      </x:c>
      <x:c r="B92" s="27" t="str">
        <x:v>5035048835890</x:v>
      </x:c>
      <x:c r="C92" s="27" t="str">
        <x:v>BCSTR918B-XJ</x:v>
      </x:c>
      <x:c r="D92" s="27" t="str">
        <x:v>Tagliabordi a batteria 18V con lame in resina (solo corpo macchina)</x:v>
      </x:c>
      <x:c r="E92" s="27" t="str">
        <x:v>BLACK+DECKER</x:v>
      </x:c>
      <x:c r="F92" s="27" t="str">
        <x:v>GAMMA GIARDINO</x:v>
      </x:c>
      <x:c r="G92" s="27" t="str">
        <x:v>TAGLIABORDI</x:v>
      </x:c>
      <x:c r="H92" s="28" t="n">
        <x:v>98.3</x:v>
      </x:c>
      <x:c r="I92" s="28" t="n">
        <x:v>119.9</x:v>
      </x:c>
      <x:c r="J92" s="29" t="n">
        <x:v>22</x:v>
      </x:c>
      <x:c r="K92" s="27" t="str"/>
      <x:c r="L92" s="27" t="str"/>
      <x:c r="M92" s="27" t="str"/>
      <x:c r="N92" s="27" t="str">
        <x:v>BLACK+DECKER</x:v>
      </x:c>
      <x:c r="O92" s="27" t="str"/>
      <x:c r="P92" s="27" t="str">
        <x:v>Catalogo Black+Decker Lo Specialista 2026, pagina 95. Prezzi se presenti: raccomandati dal catalogo.</x:v>
      </x:c>
      <x:c r="Q92" s="30" t="str">
        <x:v>2026-06-10</x:v>
      </x:c>
      <x:c r="R92" s="27" t="n">
        <x:v>95</x:v>
      </x:c>
      <x:c r="S92" s="27" t="str">
        <x:v>B+D_CATALOGO Lo Specialista 2026.pdf</x:v>
      </x:c>
    </x:row>
    <x:row r="93">
      <x:c r="A93" s="27" t="str">
        <x:v>BD-0092</x:v>
      </x:c>
      <x:c r="B93" s="27" t="str">
        <x:v>5035048834879</x:v>
      </x:c>
      <x:c r="C93" s="27" t="str">
        <x:v>BCSTR918D1-QW</x:v>
      </x:c>
      <x:c r="D93" s="27" t="str">
        <x:v>Tagliabordi a batteria 18V con lame in resina</x:v>
      </x:c>
      <x:c r="E93" s="27" t="str">
        <x:v>BLACK+DECKER</x:v>
      </x:c>
      <x:c r="F93" s="27" t="str">
        <x:v>GAMMA GIARDINO</x:v>
      </x:c>
      <x:c r="G93" s="27" t="str">
        <x:v>TAGLIABORDI</x:v>
      </x:c>
      <x:c r="H93" s="28"/>
      <x:c r="I93" s="28"/>
      <x:c r="J93" s="29" t="n">
        <x:v>22</x:v>
      </x:c>
      <x:c r="K93" s="27" t="str"/>
      <x:c r="L93" s="27" t="str"/>
      <x:c r="M93" s="27" t="str"/>
      <x:c r="N93" s="27" t="str">
        <x:v>BLACK+DECKER</x:v>
      </x:c>
      <x:c r="O93" s="27" t="str"/>
      <x:c r="P93" s="27" t="str">
        <x:v>Catalogo Black+Decker Lo Specialista 2026, pagina 95. Prezzi se presenti: raccomandati dal catalogo.</x:v>
      </x:c>
      <x:c r="Q93" s="30" t="str">
        <x:v>2026-06-10</x:v>
      </x:c>
      <x:c r="R93" s="27" t="n">
        <x:v>95</x:v>
      </x:c>
      <x:c r="S93" s="27" t="str">
        <x:v>B+D_CATALOGO Lo Specialista 2026.pdf</x:v>
      </x:c>
    </x:row>
    <x:row r="94">
      <x:c r="A94" s="27" t="str">
        <x:v>BD-0093</x:v>
      </x:c>
      <x:c r="B94" s="27" t="str">
        <x:v>5035048481677</x:v>
      </x:c>
      <x:c r="C94" s="27" t="str">
        <x:v>BDC1A-QW</x:v>
      </x:c>
      <x:c r="D94" s="27" t="str">
        <x:v>Caricabatterie rapido 1A</x:v>
      </x:c>
      <x:c r="E94" s="27" t="str">
        <x:v>BLACK+DECKER</x:v>
      </x:c>
      <x:c r="F94" s="27" t="str">
        <x:v>BATTERIE E CARICABATTERIE</x:v>
      </x:c>
      <x:c r="G94" s="27" t="str">
        <x:v>BATTERIE E CARICABATTERIE</x:v>
      </x:c>
      <x:c r="H94" s="28" t="n">
        <x:v>24.5</x:v>
      </x:c>
      <x:c r="I94" s="28" t="n">
        <x:v>29.9</x:v>
      </x:c>
      <x:c r="J94" s="29" t="n">
        <x:v>22</x:v>
      </x:c>
      <x:c r="K94" s="27" t="str"/>
      <x:c r="L94" s="27" t="str"/>
      <x:c r="M94" s="27" t="str"/>
      <x:c r="N94" s="27" t="str">
        <x:v>BLACK+DECKER</x:v>
      </x:c>
      <x:c r="O94" s="27" t="str"/>
      <x:c r="P94" s="27" t="str">
        <x:v>Catalogo Black+Decker Lo Specialista 2026, pagina 126. Prezzi se presenti: raccomandati dal catalogo.</x:v>
      </x:c>
      <x:c r="Q94" s="30" t="str">
        <x:v>2026-06-10</x:v>
      </x:c>
      <x:c r="R94" s="27" t="n">
        <x:v>126</x:v>
      </x:c>
      <x:c r="S94" s="27" t="str">
        <x:v>B+D_CATALOGO Lo Specialista 2026.pdf</x:v>
      </x:c>
    </x:row>
    <x:row r="95">
      <x:c r="A95" s="27" t="str">
        <x:v>BD-0094</x:v>
      </x:c>
      <x:c r="B95" s="27" t="str">
        <x:v>5035048481684</x:v>
      </x:c>
      <x:c r="C95" s="27" t="str">
        <x:v>BDC1A15-QW</x:v>
      </x:c>
      <x:c r="D95" s="27" t="str">
        <x:v>Starter kit: batteria 18 V 1.5 Ah + caricabatterie 1A</x:v>
      </x:c>
      <x:c r="E95" s="27" t="str">
        <x:v>BLACK+DECKER</x:v>
      </x:c>
      <x:c r="F95" s="27" t="str">
        <x:v>BATTERIE E CARICABATTERIE</x:v>
      </x:c>
      <x:c r="G95" s="27" t="str">
        <x:v>BATTERIE E CARICABATTERIE</x:v>
      </x:c>
      <x:c r="H95" s="28" t="n">
        <x:v>33</x:v>
      </x:c>
      <x:c r="I95" s="28" t="n">
        <x:v>40.3</x:v>
      </x:c>
      <x:c r="J95" s="29" t="n">
        <x:v>22</x:v>
      </x:c>
      <x:c r="K95" s="27" t="str"/>
      <x:c r="L95" s="27" t="str"/>
      <x:c r="M95" s="27" t="str"/>
      <x:c r="N95" s="27" t="str">
        <x:v>BLACK+DECKER</x:v>
      </x:c>
      <x:c r="O95" s="27" t="str"/>
      <x:c r="P95" s="27" t="str">
        <x:v>Catalogo Black+Decker Lo Specialista 2026, pagina 127. Prezzi se presenti: raccomandati dal catalogo.</x:v>
      </x:c>
      <x:c r="Q95" s="30" t="str">
        <x:v>2026-06-10</x:v>
      </x:c>
      <x:c r="R95" s="27" t="n">
        <x:v>127</x:v>
      </x:c>
      <x:c r="S95" s="27" t="str">
        <x:v>B+D_CATALOGO Lo Specialista 2026.pdf</x:v>
      </x:c>
    </x:row>
    <x:row r="96">
      <x:c r="A96" s="27" t="str">
        <x:v>BD-0095</x:v>
      </x:c>
      <x:c r="B96" s="27" t="str">
        <x:v>5035048656570</x:v>
      </x:c>
      <x:c r="C96" s="27" t="str">
        <x:v>BDC2A-QW</x:v>
      </x:c>
      <x:c r="D96" s="27" t="str">
        <x:v>Caricabatterie rapido 2A</x:v>
      </x:c>
      <x:c r="E96" s="27" t="str">
        <x:v>BLACK+DECKER</x:v>
      </x:c>
      <x:c r="F96" s="27" t="str">
        <x:v>BATTERIE E CARICABATTERIE</x:v>
      </x:c>
      <x:c r="G96" s="27" t="str">
        <x:v>BATTERIE E CARICABATTERIE</x:v>
      </x:c>
      <x:c r="H96" s="28" t="n">
        <x:v>32.7</x:v>
      </x:c>
      <x:c r="I96" s="28" t="n">
        <x:v>39.9</x:v>
      </x:c>
      <x:c r="J96" s="29" t="n">
        <x:v>22</x:v>
      </x:c>
      <x:c r="K96" s="27" t="str"/>
      <x:c r="L96" s="27" t="str"/>
      <x:c r="M96" s="27" t="str"/>
      <x:c r="N96" s="27" t="str">
        <x:v>BLACK+DECKER</x:v>
      </x:c>
      <x:c r="O96" s="27" t="str"/>
      <x:c r="P96" s="27" t="str">
        <x:v>Catalogo Black+Decker Lo Specialista 2026, pagina 126. Prezzi se presenti: raccomandati dal catalogo.</x:v>
      </x:c>
      <x:c r="Q96" s="30" t="str">
        <x:v>2026-06-10</x:v>
      </x:c>
      <x:c r="R96" s="27" t="n">
        <x:v>126</x:v>
      </x:c>
      <x:c r="S96" s="27" t="str">
        <x:v>B+D_CATALOGO Lo Specialista 2026.pdf</x:v>
      </x:c>
    </x:row>
    <x:row r="97">
      <x:c r="A97" s="27" t="str">
        <x:v>BD-0096</x:v>
      </x:c>
      <x:c r="B97" s="27" t="str">
        <x:v>5035048730638</x:v>
      </x:c>
      <x:c r="C97" s="27" t="str">
        <x:v>BDC2A20-QW</x:v>
      </x:c>
      <x:c r="D97" s="27" t="str">
        <x:v>Caricabatterie rapido</x:v>
      </x:c>
      <x:c r="E97" s="27" t="str">
        <x:v>BLACK+DECKER</x:v>
      </x:c>
      <x:c r="F97" s="27" t="str">
        <x:v>BATTERIE E CARICABATTERIE</x:v>
      </x:c>
      <x:c r="G97" s="27" t="str">
        <x:v>BATTERIE E CARICABATTERIE</x:v>
      </x:c>
      <x:c r="H97" s="28" t="n">
        <x:v>40.9</x:v>
      </x:c>
      <x:c r="I97" s="28" t="n">
        <x:v>49.9</x:v>
      </x:c>
      <x:c r="J97" s="29" t="n">
        <x:v>22</x:v>
      </x:c>
      <x:c r="K97" s="27" t="str"/>
      <x:c r="L97" s="27" t="str"/>
      <x:c r="M97" s="27" t="str"/>
      <x:c r="N97" s="27" t="str">
        <x:v>BLACK+DECKER</x:v>
      </x:c>
      <x:c r="O97" s="27" t="str"/>
      <x:c r="P97" s="27" t="str">
        <x:v>Catalogo Black+Decker Lo Specialista 2026, pagina 127. Prezzi se presenti: raccomandati dal catalogo.</x:v>
      </x:c>
      <x:c r="Q97" s="30" t="str">
        <x:v>2026-06-10</x:v>
      </x:c>
      <x:c r="R97" s="27" t="n">
        <x:v>127</x:v>
      </x:c>
      <x:c r="S97" s="27" t="str">
        <x:v>B+D_CATALOGO Lo Specialista 2026.pdf</x:v>
      </x:c>
    </x:row>
    <x:row r="98">
      <x:c r="A98" s="27" t="str">
        <x:v>BD-0097</x:v>
      </x:c>
      <x:c r="B98" s="27" t="str">
        <x:v>5035048491553</x:v>
      </x:c>
      <x:c r="C98" s="27" t="str">
        <x:v>BDC2A36-QW</x:v>
      </x:c>
      <x:c r="D98" s="27" t="str">
        <x:v>Starter kit: batteria al litio 36V 2.0Ah + caricabatterie</x:v>
      </x:c>
      <x:c r="E98" s="27" t="str">
        <x:v>BLACK+DECKER</x:v>
      </x:c>
      <x:c r="F98" s="27" t="str">
        <x:v>BATTERIE E CARICABATTERIE</x:v>
      </x:c>
      <x:c r="G98" s="27" t="str">
        <x:v>BATTERIE E CARICABATTERIE</x:v>
      </x:c>
      <x:c r="H98" s="28" t="n">
        <x:v>90.1</x:v>
      </x:c>
      <x:c r="I98" s="28" t="n">
        <x:v>109.9</x:v>
      </x:c>
      <x:c r="J98" s="29" t="n">
        <x:v>22</x:v>
      </x:c>
      <x:c r="K98" s="27" t="str"/>
      <x:c r="L98" s="27" t="str"/>
      <x:c r="M98" s="27" t="str"/>
      <x:c r="N98" s="27" t="str">
        <x:v>BLACK+DECKER</x:v>
      </x:c>
      <x:c r="O98" s="27" t="str"/>
      <x:c r="P98" s="27" t="str">
        <x:v>Catalogo Black+Decker Lo Specialista 2026, pagina 127. Prezzi se presenti: raccomandati dal catalogo.</x:v>
      </x:c>
      <x:c r="Q98" s="30" t="str">
        <x:v>2026-06-10</x:v>
      </x:c>
      <x:c r="R98" s="27" t="n">
        <x:v>127</x:v>
      </x:c>
      <x:c r="S98" s="27" t="str">
        <x:v>B+D_CATALOGO Lo Specialista 2026.pdf</x:v>
      </x:c>
    </x:row>
    <x:row r="99">
      <x:c r="A99" s="27" t="str">
        <x:v>BD-0098</x:v>
      </x:c>
      <x:c r="B99" s="27" t="str">
        <x:v>5035048562048</x:v>
      </x:c>
      <x:c r="C99" s="27" t="str">
        <x:v>BDCCS18N-XJ</x:v>
      </x:c>
      <x:c r="D99" s="27" t="str">
        <x:v>Sega circolare a batteria 18V (solo corpo macchina)</x:v>
      </x:c>
      <x:c r="E99" s="27" t="str">
        <x:v>BLACK+DECKER</x:v>
      </x:c>
      <x:c r="F99" s="27" t="str">
        <x:v>ELETTROUTENSILI</x:v>
      </x:c>
      <x:c r="G99" s="27" t="str">
        <x:v>UTENSILI PER TAGLIARE</x:v>
      </x:c>
      <x:c r="H99" s="28"/>
      <x:c r="I99" s="28"/>
      <x:c r="J99" s="29" t="n">
        <x:v>22</x:v>
      </x:c>
      <x:c r="K99" s="27" t="str"/>
      <x:c r="L99" s="27" t="str"/>
      <x:c r="M99" s="27" t="str"/>
      <x:c r="N99" s="27" t="str">
        <x:v>BLACK+DECKER</x:v>
      </x:c>
      <x:c r="O99" s="27" t="str"/>
      <x:c r="P99" s="27" t="str">
        <x:v>Catalogo Black+Decker Lo Specialista 2026, pagina 37. Prezzi se presenti: raccomandati dal catalogo.</x:v>
      </x:c>
      <x:c r="Q99" s="30" t="str">
        <x:v>2026-06-10</x:v>
      </x:c>
      <x:c r="R99" s="27" t="n">
        <x:v>37</x:v>
      </x:c>
      <x:c r="S99" s="27" t="str">
        <x:v>B+D_CATALOGO Lo Specialista 2026.pdf</x:v>
      </x:c>
    </x:row>
    <x:row r="100">
      <x:c r="A100" s="27" t="str">
        <x:v>BD-0099</x:v>
      </x:c>
      <x:c r="B100" s="27" t="str">
        <x:v>5035048631706</x:v>
      </x:c>
      <x:c r="C100" s="27" t="str">
        <x:v>BDCD8-QW</x:v>
      </x:c>
      <x:c r="D100" s="27" t="str">
        <x:v>Trapano avvitatore a batteria 7.2V</x:v>
      </x:c>
      <x:c r="E100" s="27" t="str">
        <x:v>BLACK+DECKER</x:v>
      </x:c>
      <x:c r="F100" s="27" t="str">
        <x:v>ELETTROUTENSILI</x:v>
      </x:c>
      <x:c r="G100" s="27" t="str">
        <x:v>TRAPANI A BATTERIA</x:v>
      </x:c>
      <x:c r="H100" s="28" t="n">
        <x:v>26.5</x:v>
      </x:c>
      <x:c r="I100" s="28" t="n">
        <x:v>32.3</x:v>
      </x:c>
      <x:c r="J100" s="29" t="n">
        <x:v>22</x:v>
      </x:c>
      <x:c r="K100" s="27" t="str"/>
      <x:c r="L100" s="27" t="str"/>
      <x:c r="M100" s="27" t="str"/>
      <x:c r="N100" s="27" t="str">
        <x:v>BLACK+DECKER</x:v>
      </x:c>
      <x:c r="O100" s="27" t="str"/>
      <x:c r="P100" s="27" t="str">
        <x:v>Catalogo Black+Decker Lo Specialista 2026, pagina 16. Prezzi se presenti: raccomandati dal catalogo.</x:v>
      </x:c>
      <x:c r="Q100" s="30" t="str">
        <x:v>2026-06-10</x:v>
      </x:c>
      <x:c r="R100" s="27" t="n">
        <x:v>16</x:v>
      </x:c>
      <x:c r="S100" s="27" t="str">
        <x:v>B+D_CATALOGO Lo Specialista 2026.pdf</x:v>
      </x:c>
    </x:row>
    <x:row r="101">
      <x:c r="A101" s="27" t="str">
        <x:v>BD-0100</x:v>
      </x:c>
      <x:c r="B101" s="27" t="str">
        <x:v>5035048631812</x:v>
      </x:c>
      <x:c r="C101" s="27" t="str">
        <x:v>BDCDD12-QW</x:v>
      </x:c>
      <x:c r="D101" s="27" t="str">
        <x:v>Trapano avvitatore a batteria 10.8V</x:v>
      </x:c>
      <x:c r="E101" s="27" t="str">
        <x:v>BLACK+DECKER</x:v>
      </x:c>
      <x:c r="F101" s="27" t="str">
        <x:v>ELETTROUTENSILI</x:v>
      </x:c>
      <x:c r="G101" s="27" t="str">
        <x:v>TRAPANI A BATTERIA</x:v>
      </x:c>
      <x:c r="H101" s="28" t="n">
        <x:v>40.9</x:v>
      </x:c>
      <x:c r="I101" s="28" t="n">
        <x:v>49.9</x:v>
      </x:c>
      <x:c r="J101" s="29" t="n">
        <x:v>22</x:v>
      </x:c>
      <x:c r="K101" s="27" t="str"/>
      <x:c r="L101" s="27" t="str"/>
      <x:c r="M101" s="27" t="str"/>
      <x:c r="N101" s="27" t="str">
        <x:v>BLACK+DECKER</x:v>
      </x:c>
      <x:c r="O101" s="27" t="str"/>
      <x:c r="P101" s="27" t="str">
        <x:v>Catalogo Black+Decker Lo Specialista 2026, pagina 16. Prezzi se presenti: raccomandati dal catalogo.</x:v>
      </x:c>
      <x:c r="Q101" s="30" t="str">
        <x:v>2026-06-10</x:v>
      </x:c>
      <x:c r="R101" s="27" t="n">
        <x:v>16</x:v>
      </x:c>
      <x:c r="S101" s="27" t="str">
        <x:v>B+D_CATALOGO Lo Specialista 2026.pdf</x:v>
      </x:c>
    </x:row>
    <x:row r="102">
      <x:c r="A102" s="27" t="str">
        <x:v>BD-0101</x:v>
      </x:c>
      <x:c r="B102" s="27" t="str">
        <x:v>5035048631850</x:v>
      </x:c>
      <x:c r="C102" s="27" t="str">
        <x:v>BDCDD12K-QW</x:v>
      </x:c>
      <x:c r="D102" s="27" t="str">
        <x:v>Trapano avvitatore a batteria 10.8V in valigetta</x:v>
      </x:c>
      <x:c r="E102" s="27" t="str">
        <x:v>BLACK+DECKER</x:v>
      </x:c>
      <x:c r="F102" s="27" t="str">
        <x:v>ELETTROUTENSILI</x:v>
      </x:c>
      <x:c r="G102" s="27" t="str">
        <x:v>TRAPANI A BATTERIA</x:v>
      </x:c>
      <x:c r="H102" s="28" t="n">
        <x:v>49.1</x:v>
      </x:c>
      <x:c r="I102" s="28" t="n">
        <x:v>59.9</x:v>
      </x:c>
      <x:c r="J102" s="29" t="n">
        <x:v>22</x:v>
      </x:c>
      <x:c r="K102" s="27" t="str"/>
      <x:c r="L102" s="27" t="str"/>
      <x:c r="M102" s="27" t="str"/>
      <x:c r="N102" s="27" t="str">
        <x:v>BLACK+DECKER</x:v>
      </x:c>
      <x:c r="O102" s="27" t="str"/>
      <x:c r="P102" s="27" t="str">
        <x:v>Catalogo Black+Decker Lo Specialista 2026, pagina 16. Prezzi se presenti: raccomandati dal catalogo.</x:v>
      </x:c>
      <x:c r="Q102" s="30" t="str">
        <x:v>2026-06-10</x:v>
      </x:c>
      <x:c r="R102" s="27" t="n">
        <x:v>16</x:v>
      </x:c>
      <x:c r="S102" s="27" t="str">
        <x:v>B+D_CATALOGO Lo Specialista 2026.pdf</x:v>
      </x:c>
    </x:row>
    <x:row r="103">
      <x:c r="A103" s="27" t="str">
        <x:v>BD-0102</x:v>
      </x:c>
      <x:c r="B103" s="27" t="str">
        <x:v>5035048631966</x:v>
      </x:c>
      <x:c r="C103" s="27" t="str">
        <x:v>BDCDD12KB-QW</x:v>
      </x:c>
      <x:c r="D103" s="27" t="str">
        <x:v>Trapano avvitatore con doppia batteria 10.8V in valigetta</x:v>
      </x:c>
      <x:c r="E103" s="27" t="str">
        <x:v>BLACK+DECKER</x:v>
      </x:c>
      <x:c r="F103" s="27" t="str">
        <x:v>ELETTROUTENSILI</x:v>
      </x:c>
      <x:c r="G103" s="27" t="str">
        <x:v>TRAPANI A BATTERIA</x:v>
      </x:c>
      <x:c r="H103" s="28" t="n">
        <x:v>65.5</x:v>
      </x:c>
      <x:c r="I103" s="28" t="n">
        <x:v>79.9</x:v>
      </x:c>
      <x:c r="J103" s="29" t="n">
        <x:v>22</x:v>
      </x:c>
      <x:c r="K103" s="27" t="str"/>
      <x:c r="L103" s="27" t="str"/>
      <x:c r="M103" s="27" t="str"/>
      <x:c r="N103" s="27" t="str">
        <x:v>BLACK+DECKER</x:v>
      </x:c>
      <x:c r="O103" s="27" t="str"/>
      <x:c r="P103" s="27" t="str">
        <x:v>Catalogo Black+Decker Lo Specialista 2026, pagina 16. Prezzi se presenti: raccomandati dal catalogo.</x:v>
      </x:c>
      <x:c r="Q103" s="30" t="str">
        <x:v>2026-06-10</x:v>
      </x:c>
      <x:c r="R103" s="27" t="n">
        <x:v>16</x:v>
      </x:c>
      <x:c r="S103" s="27" t="str">
        <x:v>B+D_CATALOGO Lo Specialista 2026.pdf</x:v>
      </x:c>
    </x:row>
    <x:row r="104">
      <x:c r="A104" s="27" t="str">
        <x:v>BD-0103</x:v>
      </x:c>
      <x:c r="B104" s="27" t="str">
        <x:v>5035048709481</x:v>
      </x:c>
      <x:c r="C104" s="27" t="str">
        <x:v>BDCDD12S1-QW</x:v>
      </x:c>
      <x:c r="D104" s="27" t="str">
        <x:v>Trapano avvitatore a batteria 12V</x:v>
      </x:c>
      <x:c r="E104" s="27" t="str">
        <x:v>BLACK+DECKER</x:v>
      </x:c>
      <x:c r="F104" s="27" t="str">
        <x:v>ELETTROUTENSILI</x:v>
      </x:c>
      <x:c r="G104" s="27" t="str">
        <x:v>TRAPANI A BATTERIA</x:v>
      </x:c>
      <x:c r="H104" s="28" t="n">
        <x:v>53.2</x:v>
      </x:c>
      <x:c r="I104" s="28" t="n">
        <x:v>64.9</x:v>
      </x:c>
      <x:c r="J104" s="29" t="n">
        <x:v>22</x:v>
      </x:c>
      <x:c r="K104" s="27" t="str"/>
      <x:c r="L104" s="27" t="str"/>
      <x:c r="M104" s="27" t="str"/>
      <x:c r="N104" s="27" t="str">
        <x:v>BLACK+DECKER</x:v>
      </x:c>
      <x:c r="O104" s="27" t="str"/>
      <x:c r="P104" s="27" t="str">
        <x:v>Catalogo Black+Decker Lo Specialista 2026, pagina 17. Prezzi se presenti: raccomandati dal catalogo.</x:v>
      </x:c>
      <x:c r="Q104" s="30" t="str">
        <x:v>2026-06-10</x:v>
      </x:c>
      <x:c r="R104" s="27" t="n">
        <x:v>17</x:v>
      </x:c>
      <x:c r="S104" s="27" t="str">
        <x:v>B+D_CATALOGO Lo Specialista 2026.pdf</x:v>
      </x:c>
    </x:row>
    <x:row r="105">
      <x:c r="A105" s="27" t="str">
        <x:v>BD-0104</x:v>
      </x:c>
      <x:c r="B105" s="27" t="str">
        <x:v>5035048562062</x:v>
      </x:c>
      <x:c r="C105" s="27" t="str">
        <x:v>BDCDD18N-XJ</x:v>
      </x:c>
      <x:c r="D105" s="27" t="str">
        <x:v>Trapano avvitatore a batteria 18V (solo corpo macchina)</x:v>
      </x:c>
      <x:c r="E105" s="27" t="str">
        <x:v>BLACK+DECKER</x:v>
      </x:c>
      <x:c r="F105" s="27" t="str">
        <x:v>ELETTROUTENSILI</x:v>
      </x:c>
      <x:c r="G105" s="27" t="str">
        <x:v>TRAPANI A BATTERIA</x:v>
      </x:c>
      <x:c r="H105" s="28" t="n">
        <x:v>32.7</x:v>
      </x:c>
      <x:c r="I105" s="28" t="n">
        <x:v>39.9</x:v>
      </x:c>
      <x:c r="J105" s="29" t="n">
        <x:v>22</x:v>
      </x:c>
      <x:c r="K105" s="27" t="str"/>
      <x:c r="L105" s="27" t="str"/>
      <x:c r="M105" s="27" t="str"/>
      <x:c r="N105" s="27" t="str">
        <x:v>BLACK+DECKER</x:v>
      </x:c>
      <x:c r="O105" s="27" t="str"/>
      <x:c r="P105" s="27" t="str">
        <x:v>Catalogo Black+Decker Lo Specialista 2026, pagina 18. Prezzi se presenti: raccomandati dal catalogo.</x:v>
      </x:c>
      <x:c r="Q105" s="30" t="str">
        <x:v>2026-06-10</x:v>
      </x:c>
      <x:c r="R105" s="27" t="n">
        <x:v>18</x:v>
      </x:c>
      <x:c r="S105" s="27" t="str">
        <x:v>B+D_CATALOGO Lo Specialista 2026.pdf</x:v>
      </x:c>
    </x:row>
    <x:row r="106">
      <x:c r="A106" s="27" t="str">
        <x:v>BD-0105</x:v>
      </x:c>
      <x:c r="B106" s="27" t="str">
        <x:v>5035048655375</x:v>
      </x:c>
      <x:c r="C106" s="27" t="str">
        <x:v>BDCDS18-QW</x:v>
      </x:c>
      <x:c r="D106" s="27" t="str">
        <x:v>Levigatrice Mouse® con softbag</x:v>
      </x:c>
      <x:c r="E106" s="27" t="str">
        <x:v>BLACK+DECKER</x:v>
      </x:c>
      <x:c r="F106" s="27" t="str">
        <x:v>ELETTROUTENSILI</x:v>
      </x:c>
      <x:c r="G106" s="27" t="str">
        <x:v>LEVIGATRICI</x:v>
      </x:c>
      <x:c r="H106" s="28" t="n">
        <x:v>73.7</x:v>
      </x:c>
      <x:c r="I106" s="28" t="n">
        <x:v>89.9</x:v>
      </x:c>
      <x:c r="J106" s="29" t="n">
        <x:v>22</x:v>
      </x:c>
      <x:c r="K106" s="27" t="str"/>
      <x:c r="L106" s="27" t="str"/>
      <x:c r="M106" s="27" t="str"/>
      <x:c r="N106" s="27" t="str">
        <x:v>BLACK+DECKER</x:v>
      </x:c>
      <x:c r="O106" s="27" t="str"/>
      <x:c r="P106" s="27" t="str">
        <x:v>Catalogo Black+Decker Lo Specialista 2026, pagina 43. Prezzi se presenti: raccomandati dal catalogo.</x:v>
      </x:c>
      <x:c r="Q106" s="30" t="str">
        <x:v>2026-06-10</x:v>
      </x:c>
      <x:c r="R106" s="27" t="n">
        <x:v>43</x:v>
      </x:c>
      <x:c r="S106" s="27" t="str">
        <x:v>B+D_CATALOGO Lo Specialista 2026.pdf</x:v>
      </x:c>
    </x:row>
    <x:row r="107">
      <x:c r="A107" s="27" t="str">
        <x:v>BD-0106</x:v>
      </x:c>
      <x:c r="B107" s="27" t="str">
        <x:v>5035048655351</x:v>
      </x:c>
      <x:c r="C107" s="27" t="str">
        <x:v>BDCDS18N-XJ</x:v>
      </x:c>
      <x:c r="D107" s="27" t="str">
        <x:v>Levigatrice Mouse® (solo corpo macchina)</x:v>
      </x:c>
      <x:c r="E107" s="27" t="str">
        <x:v>BLACK+DECKER</x:v>
      </x:c>
      <x:c r="F107" s="27" t="str">
        <x:v>ELETTROUTENSILI</x:v>
      </x:c>
      <x:c r="G107" s="27" t="str">
        <x:v>LEVIGATRICI</x:v>
      </x:c>
      <x:c r="H107" s="28" t="n">
        <x:v>45</x:v>
      </x:c>
      <x:c r="I107" s="28" t="n">
        <x:v>54.9</x:v>
      </x:c>
      <x:c r="J107" s="29" t="n">
        <x:v>22</x:v>
      </x:c>
      <x:c r="K107" s="27" t="str"/>
      <x:c r="L107" s="27" t="str"/>
      <x:c r="M107" s="27" t="str"/>
      <x:c r="N107" s="27" t="str">
        <x:v>BLACK+DECKER</x:v>
      </x:c>
      <x:c r="O107" s="27" t="str"/>
      <x:c r="P107" s="27" t="str">
        <x:v>Catalogo Black+Decker Lo Specialista 2026, pagina 43. Prezzi se presenti: raccomandati dal catalogo.</x:v>
      </x:c>
      <x:c r="Q107" s="30" t="str">
        <x:v>2026-06-10</x:v>
      </x:c>
      <x:c r="R107" s="27" t="n">
        <x:v>43</x:v>
      </x:c>
      <x:c r="S107" s="27" t="str">
        <x:v>B+D_CATALOGO Lo Specialista 2026.pdf</x:v>
      </x:c>
    </x:row>
    <x:row r="108">
      <x:c r="A108" s="27" t="str">
        <x:v>BD-0107</x:v>
      </x:c>
      <x:c r="B108" s="27" t="str">
        <x:v>5054905240264</x:v>
      </x:c>
      <x:c r="C108" s="27" t="str">
        <x:v>BDCHD12S1-QW</x:v>
      </x:c>
      <x:c r="D108" s="27" t="str">
        <x:v>Trapano avvitatore a percussione a batteria 12V</x:v>
      </x:c>
      <x:c r="E108" s="27" t="str">
        <x:v>BLACK+DECKER</x:v>
      </x:c>
      <x:c r="F108" s="27" t="str">
        <x:v>ELETTROUTENSILI</x:v>
      </x:c>
      <x:c r="G108" s="27" t="str">
        <x:v>TRAPANI A BATTERIA</x:v>
      </x:c>
      <x:c r="H108" s="28" t="n">
        <x:v>65.5</x:v>
      </x:c>
      <x:c r="I108" s="28" t="n">
        <x:v>79.9</x:v>
      </x:c>
      <x:c r="J108" s="29" t="n">
        <x:v>22</x:v>
      </x:c>
      <x:c r="K108" s="27" t="str"/>
      <x:c r="L108" s="27" t="str"/>
      <x:c r="M108" s="27" t="str"/>
      <x:c r="N108" s="27" t="str">
        <x:v>BLACK+DECKER</x:v>
      </x:c>
      <x:c r="O108" s="27" t="str"/>
      <x:c r="P108" s="27" t="str">
        <x:v>Catalogo Black+Decker Lo Specialista 2026, pagina 17. Prezzi se presenti: raccomandati dal catalogo.</x:v>
      </x:c>
      <x:c r="Q108" s="30" t="str">
        <x:v>2026-06-10</x:v>
      </x:c>
      <x:c r="R108" s="27" t="n">
        <x:v>17</x:v>
      </x:c>
      <x:c r="S108" s="27" t="str">
        <x:v>B+D_CATALOGO Lo Specialista 2026.pdf</x:v>
      </x:c>
    </x:row>
    <x:row r="109">
      <x:c r="A109" s="27" t="str">
        <x:v>BD-0108</x:v>
      </x:c>
      <x:c r="B109" s="27" t="str">
        <x:v>5035048832752</x:v>
      </x:c>
      <x:c r="C109" s="27" t="str">
        <x:v>BDCIM18D1A-QW</x:v>
      </x:c>
      <x:c r="D109" s="27" t="str">
        <x:v>Avvitatore a impulsi 18V</x:v>
      </x:c>
      <x:c r="E109" s="27" t="str">
        <x:v>BLACK+DECKER</x:v>
      </x:c>
      <x:c r="F109" s="27" t="str">
        <x:v>ELETTROUTENSILI</x:v>
      </x:c>
      <x:c r="G109" s="27" t="str">
        <x:v>TRAPANI A BATTERIA</x:v>
      </x:c>
      <x:c r="H109" s="28" t="n">
        <x:v>73.9</x:v>
      </x:c>
      <x:c r="I109" s="28" t="n">
        <x:v>90.2</x:v>
      </x:c>
      <x:c r="J109" s="29" t="n">
        <x:v>22</x:v>
      </x:c>
      <x:c r="K109" s="27" t="str"/>
      <x:c r="L109" s="27" t="str"/>
      <x:c r="M109" s="27" t="str"/>
      <x:c r="N109" s="27" t="str">
        <x:v>BLACK+DECKER</x:v>
      </x:c>
      <x:c r="O109" s="27" t="str"/>
      <x:c r="P109" s="27" t="str">
        <x:v>Catalogo Black+Decker Lo Specialista 2026, pagina 20. Prezzi se presenti: raccomandati dal catalogo.</x:v>
      </x:c>
      <x:c r="Q109" s="30" t="str">
        <x:v>2026-06-10</x:v>
      </x:c>
      <x:c r="R109" s="27" t="n">
        <x:v>20</x:v>
      </x:c>
      <x:c r="S109" s="27" t="str">
        <x:v>B+D_CATALOGO Lo Specialista 2026.pdf</x:v>
      </x:c>
    </x:row>
    <x:row r="110">
      <x:c r="A110" s="27" t="str">
        <x:v>BD-0109</x:v>
      </x:c>
      <x:c r="B110" s="27" t="str">
        <x:v>5035048560389</x:v>
      </x:c>
      <x:c r="C110" s="27" t="str">
        <x:v>BDCIM18N-XJ</x:v>
      </x:c>
      <x:c r="D110" s="27" t="str">
        <x:v>Avvitatore a impulsi 18V (solo corpo macchina)</x:v>
      </x:c>
      <x:c r="E110" s="27" t="str">
        <x:v>BLACK+DECKER</x:v>
      </x:c>
      <x:c r="F110" s="27" t="str">
        <x:v>ELETTROUTENSILI</x:v>
      </x:c>
      <x:c r="G110" s="27" t="str">
        <x:v>TRAPANI A BATTERIA</x:v>
      </x:c>
      <x:c r="H110" s="28" t="n">
        <x:v>49.1</x:v>
      </x:c>
      <x:c r="I110" s="28" t="n">
        <x:v>59.9</x:v>
      </x:c>
      <x:c r="J110" s="29" t="n">
        <x:v>22</x:v>
      </x:c>
      <x:c r="K110" s="27" t="str"/>
      <x:c r="L110" s="27" t="str"/>
      <x:c r="M110" s="27" t="str"/>
      <x:c r="N110" s="27" t="str">
        <x:v>BLACK+DECKER</x:v>
      </x:c>
      <x:c r="O110" s="27" t="str"/>
      <x:c r="P110" s="27" t="str">
        <x:v>Catalogo Black+Decker Lo Specialista 2026, pagina 20. Prezzi se presenti: raccomandati dal catalogo.</x:v>
      </x:c>
      <x:c r="Q110" s="30" t="str">
        <x:v>2026-06-10</x:v>
      </x:c>
      <x:c r="R110" s="27" t="n">
        <x:v>20</x:v>
      </x:c>
      <x:c r="S110" s="27" t="str">
        <x:v>B+D_CATALOGO Lo Specialista 2026.pdf</x:v>
      </x:c>
    </x:row>
    <x:row r="111">
      <x:c r="A111" s="27" t="str">
        <x:v>BD-0110</x:v>
      </x:c>
      <x:c r="B111" s="27" t="str">
        <x:v>5035048661628</x:v>
      </x:c>
      <x:c r="C111" s="27" t="str">
        <x:v>BDCINF18N-QS</x:v>
      </x:c>
      <x:c r="D111" s="27" t="str">
        <x:v>Compressore portatile</x:v>
      </x:c>
      <x:c r="E111" s="27" t="str">
        <x:v>BLACK+DECKER</x:v>
      </x:c>
      <x:c r="F111" s="27" t="str">
        <x:v>ELETTROUTENSILI</x:v>
      </x:c>
      <x:c r="G111" s="27" t="str">
        <x:v>COMPRESSORI</x:v>
      </x:c>
      <x:c r="H111" s="28" t="n">
        <x:v>90.1</x:v>
      </x:c>
      <x:c r="I111" s="28" t="n">
        <x:v>109.9</x:v>
      </x:c>
      <x:c r="J111" s="29" t="n">
        <x:v>22</x:v>
      </x:c>
      <x:c r="K111" s="27" t="str"/>
      <x:c r="L111" s="27" t="str"/>
      <x:c r="M111" s="27" t="str"/>
      <x:c r="N111" s="27" t="str">
        <x:v>BLACK+DECKER</x:v>
      </x:c>
      <x:c r="O111" s="27" t="str"/>
      <x:c r="P111" s="27" t="str">
        <x:v>Catalogo Black+Decker Lo Specialista 2026, pagina 69. Prezzi se presenti: raccomandati dal catalogo.</x:v>
      </x:c>
      <x:c r="Q111" s="30" t="str">
        <x:v>2026-06-10</x:v>
      </x:c>
      <x:c r="R111" s="27" t="n">
        <x:v>69</x:v>
      </x:c>
      <x:c r="S111" s="27" t="str">
        <x:v>B+D_CATALOGO Lo Specialista 2026.pdf</x:v>
      </x:c>
    </x:row>
    <x:row r="112">
      <x:c r="A112" s="27" t="str">
        <x:v>BD-0111</x:v>
      </x:c>
      <x:c r="B112" s="27" t="str">
        <x:v>5035048630327</x:v>
      </x:c>
      <x:c r="C112" s="27" t="str">
        <x:v>BDCJS18-QW</x:v>
      </x:c>
      <x:c r="D112" s="27" t="str">
        <x:v>Seghetto alternativo a batteria 18V</x:v>
      </x:c>
      <x:c r="E112" s="27" t="str">
        <x:v>BLACK+DECKER</x:v>
      </x:c>
      <x:c r="F112" s="27" t="str">
        <x:v>ELETTROUTENSILI</x:v>
      </x:c>
      <x:c r="G112" s="27" t="str">
        <x:v>UTENSILI PER TAGLIARE</x:v>
      </x:c>
      <x:c r="H112" s="28" t="n">
        <x:v>81.9</x:v>
      </x:c>
      <x:c r="I112" s="28" t="n">
        <x:v>99.9</x:v>
      </x:c>
      <x:c r="J112" s="29" t="n">
        <x:v>22</x:v>
      </x:c>
      <x:c r="K112" s="27" t="str"/>
      <x:c r="L112" s="27" t="str"/>
      <x:c r="M112" s="27" t="str"/>
      <x:c r="N112" s="27" t="str">
        <x:v>BLACK+DECKER</x:v>
      </x:c>
      <x:c r="O112" s="27" t="str"/>
      <x:c r="P112" s="27" t="str">
        <x:v>Catalogo Black+Decker Lo Specialista 2026, pagina 32. Prezzi se presenti: raccomandati dal catalogo.</x:v>
      </x:c>
      <x:c r="Q112" s="30" t="str">
        <x:v>2026-06-10</x:v>
      </x:c>
      <x:c r="R112" s="27" t="n">
        <x:v>32</x:v>
      </x:c>
      <x:c r="S112" s="27" t="str">
        <x:v>B+D_CATALOGO Lo Specialista 2026.pdf</x:v>
      </x:c>
    </x:row>
    <x:row r="113">
      <x:c r="A113" s="27" t="str">
        <x:v>BD-0112</x:v>
      </x:c>
      <x:c r="B113" s="27" t="str">
        <x:v>5035048630310</x:v>
      </x:c>
      <x:c r="C113" s="27" t="str">
        <x:v>BDCJS18N-XJ</x:v>
      </x:c>
      <x:c r="D113" s="27" t="str">
        <x:v>Seghetto alternativo a batteria 18V (solo corpo macchina)</x:v>
      </x:c>
      <x:c r="E113" s="27" t="str">
        <x:v>BLACK+DECKER</x:v>
      </x:c>
      <x:c r="F113" s="27" t="str">
        <x:v>ELETTROUTENSILI</x:v>
      </x:c>
      <x:c r="G113" s="27" t="str">
        <x:v>UTENSILI PER TAGLIARE</x:v>
      </x:c>
      <x:c r="H113" s="28" t="n">
        <x:v>54</x:v>
      </x:c>
      <x:c r="I113" s="28" t="n">
        <x:v>65.9</x:v>
      </x:c>
      <x:c r="J113" s="29" t="n">
        <x:v>22</x:v>
      </x:c>
      <x:c r="K113" s="27" t="str"/>
      <x:c r="L113" s="27" t="str"/>
      <x:c r="M113" s="27" t="str"/>
      <x:c r="N113" s="27" t="str">
        <x:v>BLACK+DECKER</x:v>
      </x:c>
      <x:c r="O113" s="27" t="str"/>
      <x:c r="P113" s="27" t="str">
        <x:v>Catalogo Black+Decker Lo Specialista 2026, pagina 32. Prezzi se presenti: raccomandati dal catalogo.</x:v>
      </x:c>
      <x:c r="Q113" s="30" t="str">
        <x:v>2026-06-10</x:v>
      </x:c>
      <x:c r="R113" s="27" t="n">
        <x:v>32</x:v>
      </x:c>
      <x:c r="S113" s="27" t="str">
        <x:v>B+D_CATALOGO Lo Specialista 2026.pdf</x:v>
      </x:c>
    </x:row>
    <x:row r="114">
      <x:c r="A114" s="27" t="str">
        <x:v>BD-0113</x:v>
      </x:c>
      <x:c r="B114" s="27" t="str">
        <x:v>5035048789131</x:v>
      </x:c>
      <x:c r="C114" s="27" t="str">
        <x:v>BDCOS18D1K-QW</x:v>
      </x:c>
      <x:c r="D114" s="27" t="str">
        <x:v>Utensile multifunzione oscillante a batteria 18V con accessori in valigetta</x:v>
      </x:c>
      <x:c r="E114" s="27" t="str">
        <x:v>BLACK+DECKER</x:v>
      </x:c>
      <x:c r="F114" s="27" t="str">
        <x:v>ELETTROUTENSILI</x:v>
      </x:c>
      <x:c r="G114" s="27" t="str">
        <x:v>PIALLETTI, ELETTROFRESATRICI ED ALTRI UTENSILI</x:v>
      </x:c>
      <x:c r="H114" s="28" t="n">
        <x:v>106.5</x:v>
      </x:c>
      <x:c r="I114" s="28" t="n">
        <x:v>129.9</x:v>
      </x:c>
      <x:c r="J114" s="29" t="n">
        <x:v>22</x:v>
      </x:c>
      <x:c r="K114" s="27" t="str"/>
      <x:c r="L114" s="27" t="str"/>
      <x:c r="M114" s="27" t="str"/>
      <x:c r="N114" s="27" t="str">
        <x:v>BLACK+DECKER</x:v>
      </x:c>
      <x:c r="O114" s="27" t="str"/>
      <x:c r="P114" s="27" t="str">
        <x:v>Catalogo Black+Decker Lo Specialista 2026, pagina 59. Prezzi se presenti: raccomandati dal catalogo.</x:v>
      </x:c>
      <x:c r="Q114" s="30" t="str">
        <x:v>2026-06-10</x:v>
      </x:c>
      <x:c r="R114" s="27" t="n">
        <x:v>59</x:v>
      </x:c>
      <x:c r="S114" s="27" t="str">
        <x:v>B+D_CATALOGO Lo Specialista 2026.pdf</x:v>
      </x:c>
    </x:row>
    <x:row r="115">
      <x:c r="A115" s="27" t="str">
        <x:v>BD-0114</x:v>
      </x:c>
      <x:c r="B115" s="27" t="str">
        <x:v>5035048789100</x:v>
      </x:c>
      <x:c r="C115" s="27" t="str">
        <x:v>BDCOS18N-XJ</x:v>
      </x:c>
      <x:c r="D115" s="27" t="str">
        <x:v>Utensile multifunzione oscillante a batteria 18V (solo corpo macchina)</x:v>
      </x:c>
      <x:c r="E115" s="27" t="str">
        <x:v>BLACK+DECKER</x:v>
      </x:c>
      <x:c r="F115" s="27" t="str">
        <x:v>ELETTROUTENSILI</x:v>
      </x:c>
      <x:c r="G115" s="27" t="str">
        <x:v>PIALLETTI, ELETTROFRESATRICI ED ALTRI UTENSILI</x:v>
      </x:c>
      <x:c r="H115" s="28" t="n">
        <x:v>65.5</x:v>
      </x:c>
      <x:c r="I115" s="28" t="n">
        <x:v>79.9</x:v>
      </x:c>
      <x:c r="J115" s="29" t="n">
        <x:v>22</x:v>
      </x:c>
      <x:c r="K115" s="27" t="str"/>
      <x:c r="L115" s="27" t="str"/>
      <x:c r="M115" s="27" t="str"/>
      <x:c r="N115" s="27" t="str">
        <x:v>BLACK+DECKER</x:v>
      </x:c>
      <x:c r="O115" s="27" t="str"/>
      <x:c r="P115" s="27" t="str">
        <x:v>Catalogo Black+Decker Lo Specialista 2026, pagina 59. Prezzi se presenti: raccomandati dal catalogo.</x:v>
      </x:c>
      <x:c r="Q115" s="30" t="str">
        <x:v>2026-06-10</x:v>
      </x:c>
      <x:c r="R115" s="27" t="n">
        <x:v>59</x:v>
      </x:c>
      <x:c r="S115" s="27" t="str">
        <x:v>B+D_CATALOGO Lo Specialista 2026.pdf</x:v>
      </x:c>
    </x:row>
    <x:row r="116">
      <x:c r="A116" s="27" t="str">
        <x:v>BD-0115</x:v>
      </x:c>
      <x:c r="B116" s="27" t="str">
        <x:v>5035048562208</x:v>
      </x:c>
      <x:c r="C116" s="27" t="str">
        <x:v>BDCR18-QW</x:v>
      </x:c>
      <x:c r="D116" s="27" t="str">
        <x:v>Sega universale a batteria 18V</x:v>
      </x:c>
      <x:c r="E116" s="27" t="str">
        <x:v>BLACK+DECKER</x:v>
      </x:c>
      <x:c r="F116" s="27" t="str">
        <x:v>ELETTROUTENSILI</x:v>
      </x:c>
      <x:c r="G116" s="27" t="str">
        <x:v>UTENSILI PER TAGLIARE</x:v>
      </x:c>
      <x:c r="H116" s="28" t="n">
        <x:v>81.9</x:v>
      </x:c>
      <x:c r="I116" s="28" t="n">
        <x:v>99.9</x:v>
      </x:c>
      <x:c r="J116" s="29" t="n">
        <x:v>22</x:v>
      </x:c>
      <x:c r="K116" s="27" t="str"/>
      <x:c r="L116" s="27" t="str"/>
      <x:c r="M116" s="27" t="str"/>
      <x:c r="N116" s="27" t="str">
        <x:v>BLACK+DECKER</x:v>
      </x:c>
      <x:c r="O116" s="27" t="str"/>
      <x:c r="P116" s="27" t="str">
        <x:v>Catalogo Black+Decker Lo Specialista 2026, pagina 34. Prezzi se presenti: raccomandati dal catalogo.</x:v>
      </x:c>
      <x:c r="Q116" s="30" t="str">
        <x:v>2026-06-10</x:v>
      </x:c>
      <x:c r="R116" s="27" t="n">
        <x:v>34</x:v>
      </x:c>
      <x:c r="S116" s="27" t="str">
        <x:v>B+D_CATALOGO Lo Specialista 2026.pdf</x:v>
      </x:c>
    </x:row>
    <x:row r="117">
      <x:c r="A117" s="27" t="str">
        <x:v>BD-0116</x:v>
      </x:c>
      <x:c r="B117" s="27" t="str">
        <x:v>5035048561720</x:v>
      </x:c>
      <x:c r="C117" s="27" t="str">
        <x:v>BDCR18N-XJ</x:v>
      </x:c>
      <x:c r="D117" s="27" t="str">
        <x:v>Sega circolare 18V (solo corpo macchina)</x:v>
      </x:c>
      <x:c r="E117" s="27" t="str">
        <x:v>BLACK+DECKER</x:v>
      </x:c>
      <x:c r="F117" s="27" t="str">
        <x:v>ELETTROUTENSILI</x:v>
      </x:c>
      <x:c r="G117" s="27" t="str">
        <x:v>UTENSILI PER TAGLIARE</x:v>
      </x:c>
      <x:c r="H117" s="28" t="n">
        <x:v>57.3</x:v>
      </x:c>
      <x:c r="I117" s="28" t="n">
        <x:v>69.9</x:v>
      </x:c>
      <x:c r="J117" s="29" t="n">
        <x:v>22</x:v>
      </x:c>
      <x:c r="K117" s="27" t="str"/>
      <x:c r="L117" s="27" t="str"/>
      <x:c r="M117" s="27" t="str"/>
      <x:c r="N117" s="27" t="str">
        <x:v>BLACK+DECKER</x:v>
      </x:c>
      <x:c r="O117" s="27" t="str"/>
      <x:c r="P117" s="27" t="str">
        <x:v>Catalogo Black+Decker Lo Specialista 2026, pagina 34. Prezzi se presenti: raccomandati dal catalogo.</x:v>
      </x:c>
      <x:c r="Q117" s="30" t="str">
        <x:v>2026-06-10</x:v>
      </x:c>
      <x:c r="R117" s="27" t="n">
        <x:v>34</x:v>
      </x:c>
      <x:c r="S117" s="27" t="str">
        <x:v>B+D_CATALOGO Lo Specialista 2026.pdf</x:v>
      </x:c>
    </x:row>
    <x:row r="118">
      <x:c r="A118" s="27" t="str">
        <x:v>BD-0117</x:v>
      </x:c>
      <x:c r="B118" s="27" t="str">
        <x:v>5035048664414</x:v>
      </x:c>
      <x:c r="C118" s="27" t="str">
        <x:v>BDCROS18-QW</x:v>
      </x:c>
      <x:c r="D118" s="27" t="str">
        <x:v>Levigatrice rotorbitale a batteria 18V</x:v>
      </x:c>
      <x:c r="E118" s="27" t="str">
        <x:v>BLACK+DECKER</x:v>
      </x:c>
      <x:c r="F118" s="27" t="str">
        <x:v>ELETTROUTENSILI</x:v>
      </x:c>
      <x:c r="G118" s="27" t="str">
        <x:v>LEVIGATRICI</x:v>
      </x:c>
      <x:c r="H118" s="28" t="n">
        <x:v>81.9</x:v>
      </x:c>
      <x:c r="I118" s="28" t="n">
        <x:v>99.9</x:v>
      </x:c>
      <x:c r="J118" s="29" t="n">
        <x:v>22</x:v>
      </x:c>
      <x:c r="K118" s="27" t="str"/>
      <x:c r="L118" s="27" t="str"/>
      <x:c r="M118" s="27" t="str"/>
      <x:c r="N118" s="27" t="str">
        <x:v>BLACK+DECKER</x:v>
      </x:c>
      <x:c r="O118" s="27" t="str"/>
      <x:c r="P118" s="27" t="str">
        <x:v>Catalogo Black+Decker Lo Specialista 2026, pagina 47. Prezzi se presenti: raccomandati dal catalogo.</x:v>
      </x:c>
      <x:c r="Q118" s="30" t="str">
        <x:v>2026-06-10</x:v>
      </x:c>
      <x:c r="R118" s="27" t="n">
        <x:v>47</x:v>
      </x:c>
      <x:c r="S118" s="27" t="str">
        <x:v>B+D_CATALOGO Lo Specialista 2026.pdf</x:v>
      </x:c>
    </x:row>
    <x:row r="119">
      <x:c r="A119" s="27" t="str">
        <x:v>BD-0118</x:v>
      </x:c>
      <x:c r="B119" s="27" t="str">
        <x:v>5035048664445</x:v>
      </x:c>
      <x:c r="C119" s="27" t="str">
        <x:v>BDCROS18N-XJ</x:v>
      </x:c>
      <x:c r="D119" s="27" t="str">
        <x:v>Levigatrice rotorbitale a batteria (solo corpo macchina)</x:v>
      </x:c>
      <x:c r="E119" s="27" t="str">
        <x:v>BLACK+DECKER</x:v>
      </x:c>
      <x:c r="F119" s="27" t="str">
        <x:v>ELETTROUTENSILI</x:v>
      </x:c>
      <x:c r="G119" s="27" t="str">
        <x:v>LEVIGATRICI</x:v>
      </x:c>
      <x:c r="H119" s="28" t="n">
        <x:v>53.2</x:v>
      </x:c>
      <x:c r="I119" s="28" t="n">
        <x:v>64.9</x:v>
      </x:c>
      <x:c r="J119" s="29" t="n">
        <x:v>22</x:v>
      </x:c>
      <x:c r="K119" s="27" t="str"/>
      <x:c r="L119" s="27" t="str"/>
      <x:c r="M119" s="27" t="str"/>
      <x:c r="N119" s="27" t="str">
        <x:v>BLACK+DECKER</x:v>
      </x:c>
      <x:c r="O119" s="27" t="str"/>
      <x:c r="P119" s="27" t="str">
        <x:v>Catalogo Black+Decker Lo Specialista 2026, pagina 47. Prezzi se presenti: raccomandati dal catalogo.</x:v>
      </x:c>
      <x:c r="Q119" s="30" t="str">
        <x:v>2026-06-10</x:v>
      </x:c>
      <x:c r="R119" s="27" t="n">
        <x:v>47</x:v>
      </x:c>
      <x:c r="S119" s="27" t="str">
        <x:v>B+D_CATALOGO Lo Specialista 2026.pdf</x:v>
      </x:c>
    </x:row>
    <x:row r="120">
      <x:c r="A120" s="27" t="str">
        <x:v>BD-0119</x:v>
      </x:c>
      <x:c r="B120" s="27" t="str">
        <x:v>5035048668993</x:v>
      </x:c>
      <x:c r="C120" s="27" t="str">
        <x:v>BDCSFL20C-QW</x:v>
      </x:c>
      <x:c r="D120" s="27" t="str">
        <x:v>Svitavvita con impugnatura orientabile e torcia integrata</x:v>
      </x:c>
      <x:c r="E120" s="27" t="str">
        <x:v>BLACK+DECKER</x:v>
      </x:c>
      <x:c r="F120" s="27" t="str">
        <x:v>ELETTROUTENSILI</x:v>
      </x:c>
      <x:c r="G120" s="27" t="str">
        <x:v>SVITAVVITA</x:v>
      </x:c>
      <x:c r="H120" s="28" t="n">
        <x:v>27</x:v>
      </x:c>
      <x:c r="I120" s="28" t="n">
        <x:v>32.9</x:v>
      </x:c>
      <x:c r="J120" s="29" t="n">
        <x:v>22</x:v>
      </x:c>
      <x:c r="K120" s="27" t="str"/>
      <x:c r="L120" s="27" t="str"/>
      <x:c r="M120" s="27" t="str"/>
      <x:c r="N120" s="27" t="str">
        <x:v>BLACK+DECKER</x:v>
      </x:c>
      <x:c r="O120" s="27" t="str"/>
      <x:c r="P120" s="27" t="str">
        <x:v>Catalogo Black+Decker Lo Specialista 2026, pagina 26. Prezzi se presenti: raccomandati dal catalogo.</x:v>
      </x:c>
      <x:c r="Q120" s="30" t="str">
        <x:v>2026-06-10</x:v>
      </x:c>
      <x:c r="R120" s="27" t="n">
        <x:v>26</x:v>
      </x:c>
      <x:c r="S120" s="27" t="str">
        <x:v>B+D_CATALOGO Lo Specialista 2026.pdf</x:v>
      </x:c>
    </x:row>
    <x:row r="121">
      <x:c r="A121" s="27" t="str">
        <x:v>BD-0120</x:v>
      </x:c>
      <x:c r="B121" s="27" t="str">
        <x:v>5035048791981</x:v>
      </x:c>
      <x:c r="C121" s="27" t="str">
        <x:v>BDCWBK01-XJ</x:v>
      </x:c>
      <x:c r="D121" s="27" t="str">
        <x:v>Carrello pieghevole</x:v>
      </x:c>
      <x:c r="E121" s="27" t="str">
        <x:v>BLACK+DECKER</x:v>
      </x:c>
      <x:c r="F121" s="27" t="str">
        <x:v>ELETTROUTENSILI</x:v>
      </x:c>
      <x:c r="G121" s="27" t="str">
        <x:v>BANCHI DA LAVORO E LIFESTYLE</x:v>
      </x:c>
      <x:c r="H121" s="28" t="n">
        <x:v>81.9</x:v>
      </x:c>
      <x:c r="I121" s="28" t="n">
        <x:v>99.9</x:v>
      </x:c>
      <x:c r="J121" s="29" t="n">
        <x:v>22</x:v>
      </x:c>
      <x:c r="K121" s="27" t="str"/>
      <x:c r="L121" s="27" t="str"/>
      <x:c r="M121" s="27" t="str"/>
      <x:c r="N121" s="27" t="str">
        <x:v>BLACK+DECKER</x:v>
      </x:c>
      <x:c r="O121" s="27" t="str"/>
      <x:c r="P121" s="27" t="str">
        <x:v>Catalogo Black+Decker Lo Specialista 2026, pagina 71. Prezzi se presenti: raccomandati dal catalogo.</x:v>
      </x:c>
      <x:c r="Q121" s="30" t="str">
        <x:v>2026-06-10</x:v>
      </x:c>
      <x:c r="R121" s="27" t="n">
        <x:v>71</x:v>
      </x:c>
      <x:c r="S121" s="27" t="str">
        <x:v>B+D_CATALOGO Lo Specialista 2026.pdf</x:v>
      </x:c>
    </x:row>
    <x:row r="122">
      <x:c r="A122" s="27" t="str">
        <x:v>BD-0121</x:v>
      </x:c>
      <x:c r="B122" s="27" t="str">
        <x:v>5054905330439</x:v>
      </x:c>
      <x:c r="C122" s="27" t="str">
        <x:v>BDGL2223-QS</x:v>
      </x:c>
      <x:c r="D122" s="27" t="str">
        <x:v>Smerigliatrice angolare 2200W 230mm</x:v>
      </x:c>
      <x:c r="E122" s="27" t="str">
        <x:v>BLACK+DECKER</x:v>
      </x:c>
      <x:c r="F122" s="27" t="str">
        <x:v>ELETTROUTENSILI</x:v>
      </x:c>
      <x:c r="G122" s="27" t="str">
        <x:v>SMERIGLIATRICI</x:v>
      </x:c>
      <x:c r="H122" s="28" t="n">
        <x:v>73.5</x:v>
      </x:c>
      <x:c r="I122" s="28" t="n">
        <x:v>89.7</x:v>
      </x:c>
      <x:c r="J122" s="29" t="n">
        <x:v>22</x:v>
      </x:c>
      <x:c r="K122" s="27" t="str"/>
      <x:c r="L122" s="27" t="str"/>
      <x:c r="M122" s="27" t="str"/>
      <x:c r="N122" s="27" t="str">
        <x:v>BLACK+DECKER</x:v>
      </x:c>
      <x:c r="O122" s="27" t="str"/>
      <x:c r="P122" s="27" t="str">
        <x:v>Catalogo Black+Decker Lo Specialista 2026, pagina 54. Prezzi se presenti: raccomandati dal catalogo.</x:v>
      </x:c>
      <x:c r="Q122" s="30" t="str">
        <x:v>2026-06-10</x:v>
      </x:c>
      <x:c r="R122" s="27" t="n">
        <x:v>54</x:v>
      </x:c>
      <x:c r="S122" s="27" t="str">
        <x:v>B+D_CATALOGO Lo Specialista 2026.pdf</x:v>
      </x:c>
    </x:row>
    <x:row r="123">
      <x:c r="A123" s="27" t="str">
        <x:v>BD-0122</x:v>
      </x:c>
      <x:c r="B123" s="27" t="str">
        <x:v>5035048810514</x:v>
      </x:c>
      <x:c r="C123" s="27" t="str">
        <x:v>BDL2018S-XJ</x:v>
      </x:c>
      <x:c r="D123" s="27" t="str">
        <x:v>Batteria al Litio 18V - 2.0Ah con indicatore stato di carica</x:v>
      </x:c>
      <x:c r="E123" s="27" t="str">
        <x:v>BLACK+DECKER</x:v>
      </x:c>
      <x:c r="F123" s="27" t="str">
        <x:v>BATTERIE E CARICABATTERIE</x:v>
      </x:c>
      <x:c r="G123" s="27" t="str">
        <x:v>BATTERIE E CARICABATTERIE</x:v>
      </x:c>
      <x:c r="H123" s="28" t="n">
        <x:v>28.1</x:v>
      </x:c>
      <x:c r="I123" s="28" t="n">
        <x:v>34.3</x:v>
      </x:c>
      <x:c r="J123" s="29" t="n">
        <x:v>22</x:v>
      </x:c>
      <x:c r="K123" s="27" t="str"/>
      <x:c r="L123" s="27" t="str"/>
      <x:c r="M123" s="27" t="str"/>
      <x:c r="N123" s="27" t="str">
        <x:v>BLACK+DECKER</x:v>
      </x:c>
      <x:c r="O123" s="27" t="str"/>
      <x:c r="P123" s="27" t="str">
        <x:v>Catalogo Black+Decker Lo Specialista 2026, pagina 126. Prezzi se presenti: raccomandati dal catalogo.</x:v>
      </x:c>
      <x:c r="Q123" s="30" t="str">
        <x:v>2026-06-10</x:v>
      </x:c>
      <x:c r="R123" s="27" t="n">
        <x:v>126</x:v>
      </x:c>
      <x:c r="S123" s="27" t="str">
        <x:v>B+D_CATALOGO Lo Specialista 2026.pdf</x:v>
      </x:c>
    </x:row>
    <x:row r="124">
      <x:c r="A124" s="27" t="str">
        <x:v>BD-0123</x:v>
      </x:c>
      <x:c r="B124" s="27" t="str">
        <x:v>5035048811245</x:v>
      </x:c>
      <x:c r="C124" s="27" t="str">
        <x:v>BDL2518S-XJ</x:v>
      </x:c>
      <x:c r="D124" s="27" t="str">
        <x:v>Batteria al Litio 18V - 2.5Ah con indicatore stato di carica</x:v>
      </x:c>
      <x:c r="E124" s="27" t="str">
        <x:v>BLACK+DECKER</x:v>
      </x:c>
      <x:c r="F124" s="27" t="str">
        <x:v>BATTERIE E CARICABATTERIE</x:v>
      </x:c>
      <x:c r="G124" s="27" t="str">
        <x:v>BATTERIE E CARICABATTERIE</x:v>
      </x:c>
      <x:c r="H124" s="28" t="n">
        <x:v>32.7</x:v>
      </x:c>
      <x:c r="I124" s="28" t="n">
        <x:v>39.9</x:v>
      </x:c>
      <x:c r="J124" s="29" t="n">
        <x:v>22</x:v>
      </x:c>
      <x:c r="K124" s="27" t="str"/>
      <x:c r="L124" s="27" t="str"/>
      <x:c r="M124" s="27" t="str"/>
      <x:c r="N124" s="27" t="str">
        <x:v>BLACK+DECKER</x:v>
      </x:c>
      <x:c r="O124" s="27" t="str"/>
      <x:c r="P124" s="27" t="str">
        <x:v>Catalogo Black+Decker Lo Specialista 2026, pagina 126. Prezzi se presenti: raccomandati dal catalogo.</x:v>
      </x:c>
      <x:c r="Q124" s="30" t="str">
        <x:v>2026-06-10</x:v>
      </x:c>
      <x:c r="R124" s="27" t="n">
        <x:v>126</x:v>
      </x:c>
      <x:c r="S124" s="27" t="str">
        <x:v>B+D_CATALOGO Lo Specialista 2026.pdf</x:v>
      </x:c>
    </x:row>
    <x:row r="125">
      <x:c r="A125" s="27" t="str">
        <x:v>BD-0124</x:v>
      </x:c>
      <x:c r="B125" s="27" t="str">
        <x:v>5054905337308</x:v>
      </x:c>
      <x:c r="C125" s="27" t="str">
        <x:v>BDL4018S-XJ</x:v>
      </x:c>
      <x:c r="D125" s="27" t="str">
        <x:v>Batteria al Litio 18V - 4.0Ah con indicatore stato di carica</x:v>
      </x:c>
      <x:c r="E125" s="27" t="str">
        <x:v>BLACK+DECKER</x:v>
      </x:c>
      <x:c r="F125" s="27" t="str">
        <x:v>BATTERIE E CARICABATTERIE</x:v>
      </x:c>
      <x:c r="G125" s="27" t="str">
        <x:v>BATTERIE E CARICABATTERIE</x:v>
      </x:c>
      <x:c r="H125" s="28" t="n">
        <x:v>49.1</x:v>
      </x:c>
      <x:c r="I125" s="28" t="n">
        <x:v>59.9</x:v>
      </x:c>
      <x:c r="J125" s="29" t="n">
        <x:v>22</x:v>
      </x:c>
      <x:c r="K125" s="27" t="str"/>
      <x:c r="L125" s="27" t="str"/>
      <x:c r="M125" s="27" t="str"/>
      <x:c r="N125" s="27" t="str">
        <x:v>BLACK+DECKER</x:v>
      </x:c>
      <x:c r="O125" s="27" t="str"/>
      <x:c r="P125" s="27" t="str">
        <x:v>Catalogo Black+Decker Lo Specialista 2026, pagina 126. Prezzi se presenti: raccomandati dal catalogo.</x:v>
      </x:c>
      <x:c r="Q125" s="30" t="str">
        <x:v>2026-06-10</x:v>
      </x:c>
      <x:c r="R125" s="27" t="n">
        <x:v>126</x:v>
      </x:c>
      <x:c r="S125" s="27" t="str">
        <x:v>B+D_CATALOGO Lo Specialista 2026.pdf</x:v>
      </x:c>
    </x:row>
    <x:row r="126">
      <x:c r="A126" s="27" t="str">
        <x:v>BD-0125</x:v>
      </x:c>
      <x:c r="B126" s="27" t="str">
        <x:v>5035048840658</x:v>
      </x:c>
      <x:c r="C126" s="27" t="str">
        <x:v>BDL2018S1B-QW</x:v>
      </x:c>
      <x:c r="D126" s="27" t="str">
        <x:v>Starter kit: batteria 18V con indicatore stato di carica + caricabatterie 1A</x:v>
      </x:c>
      <x:c r="E126" s="27" t="str">
        <x:v>BLACK+DECKER</x:v>
      </x:c>
      <x:c r="F126" s="27" t="str">
        <x:v>BATTERIE E CARICABATTERIE</x:v>
      </x:c>
      <x:c r="G126" s="27" t="str">
        <x:v>BATTERIE E CARICABATTERIE</x:v>
      </x:c>
      <x:c r="H126" s="28" t="n">
        <x:v>33.9</x:v>
      </x:c>
      <x:c r="I126" s="28" t="n">
        <x:v>41.4</x:v>
      </x:c>
      <x:c r="J126" s="29" t="n">
        <x:v>22</x:v>
      </x:c>
      <x:c r="K126" s="27" t="str"/>
      <x:c r="L126" s="27" t="str"/>
      <x:c r="M126" s="27" t="str"/>
      <x:c r="N126" s="27" t="str">
        <x:v>BLACK+DECKER</x:v>
      </x:c>
      <x:c r="O126" s="27" t="str"/>
      <x:c r="P126" s="27" t="str">
        <x:v>Catalogo Black+Decker Lo Specialista 2026, pagina 127. Prezzi se presenti: raccomandati dal catalogo.</x:v>
      </x:c>
      <x:c r="Q126" s="30" t="str">
        <x:v>2026-06-10</x:v>
      </x:c>
      <x:c r="R126" s="27" t="n">
        <x:v>127</x:v>
      </x:c>
      <x:c r="S126" s="27" t="str">
        <x:v>B+D_CATALOGO Lo Specialista 2026.pdf</x:v>
      </x:c>
    </x:row>
    <x:row r="127">
      <x:c r="A127" s="27" t="str">
        <x:v>BD-0126</x:v>
      </x:c>
      <x:c r="B127" s="27" t="str">
        <x:v>5035048710241</x:v>
      </x:c>
      <x:c r="C127" s="27" t="str">
        <x:v>BEBL185-QS</x:v>
      </x:c>
      <x:c r="D127" s="27" t="str">
        <x:v>Soffiatore Assiale a filo 1850W</x:v>
      </x:c>
      <x:c r="E127" s="27" t="str">
        <x:v>BLACK+DECKER</x:v>
      </x:c>
      <x:c r="F127" s="27" t="str">
        <x:v>GAMMA GIARDINO</x:v>
      </x:c>
      <x:c r="G127" s="27" t="str">
        <x:v>SOFFIATORI</x:v>
      </x:c>
      <x:c r="H127" s="28" t="n">
        <x:v>49.5</x:v>
      </x:c>
      <x:c r="I127" s="28" t="n">
        <x:v>60.4</x:v>
      </x:c>
      <x:c r="J127" s="29" t="n">
        <x:v>22</x:v>
      </x:c>
      <x:c r="K127" s="27" t="str"/>
      <x:c r="L127" s="27" t="str"/>
      <x:c r="M127" s="27" t="str"/>
      <x:c r="N127" s="27" t="str">
        <x:v>BLACK+DECKER</x:v>
      </x:c>
      <x:c r="O127" s="27" t="str"/>
      <x:c r="P127" s="27" t="str">
        <x:v>Catalogo Black+Decker Lo Specialista 2026, pagina 99. Prezzi se presenti: raccomandati dal catalogo.</x:v>
      </x:c>
      <x:c r="Q127" s="30" t="str">
        <x:v>2026-06-10</x:v>
      </x:c>
      <x:c r="R127" s="27" t="n">
        <x:v>99</x:v>
      </x:c>
      <x:c r="S127" s="27" t="str">
        <x:v>B+D_CATALOGO Lo Specialista 2026.pdf</x:v>
      </x:c>
    </x:row>
    <x:row r="128">
      <x:c r="A128" s="27" t="str">
        <x:v>BD-0127</x:v>
      </x:c>
      <x:c r="B128" s="27" t="str">
        <x:v>5035048705124</x:v>
      </x:c>
      <x:c r="C128" s="27" t="str">
        <x:v>BEBLV260-QS</x:v>
      </x:c>
      <x:c r="D128" s="27" t="str">
        <x:v>Soffiatore - Aspiratore - Trituratore a filo 2600W</x:v>
      </x:c>
      <x:c r="E128" s="27" t="str">
        <x:v>BLACK+DECKER</x:v>
      </x:c>
      <x:c r="F128" s="27" t="str">
        <x:v>GAMMA GIARDINO</x:v>
      </x:c>
      <x:c r="G128" s="27" t="str">
        <x:v>SOFFIATORI</x:v>
      </x:c>
      <x:c r="H128" s="28" t="n">
        <x:v>65.6</x:v>
      </x:c>
      <x:c r="I128" s="28" t="n">
        <x:v>80</x:v>
      </x:c>
      <x:c r="J128" s="29" t="n">
        <x:v>22</x:v>
      </x:c>
      <x:c r="K128" s="27" t="str"/>
      <x:c r="L128" s="27" t="str"/>
      <x:c r="M128" s="27" t="str"/>
      <x:c r="N128" s="27" t="str">
        <x:v>BLACK+DECKER</x:v>
      </x:c>
      <x:c r="O128" s="27" t="str"/>
      <x:c r="P128" s="27" t="str">
        <x:v>Catalogo Black+Decker Lo Specialista 2026, pagina 99. Prezzi se presenti: raccomandati dal catalogo.</x:v>
      </x:c>
      <x:c r="Q128" s="30" t="str">
        <x:v>2026-06-10</x:v>
      </x:c>
      <x:c r="R128" s="27" t="n">
        <x:v>99</x:v>
      </x:c>
      <x:c r="S128" s="27" t="str">
        <x:v>B+D_CATALOGO Lo Specialista 2026.pdf</x:v>
      </x:c>
    </x:row>
    <x:row r="129">
      <x:c r="A129" s="27" t="str">
        <x:v>BD-0128</x:v>
      </x:c>
      <x:c r="B129" s="27" t="str">
        <x:v>5035048705155</x:v>
      </x:c>
      <x:c r="C129" s="27" t="str">
        <x:v>BEBLV290-QS</x:v>
      </x:c>
      <x:c r="D129" s="27" t="str">
        <x:v>Soffiatore - Aspiratore - Trituratore a filo 2900W con zaino</x:v>
      </x:c>
      <x:c r="E129" s="27" t="str">
        <x:v>BLACK+DECKER</x:v>
      </x:c>
      <x:c r="F129" s="27" t="str">
        <x:v>GAMMA GIARDINO</x:v>
      </x:c>
      <x:c r="G129" s="27" t="str">
        <x:v>SOFFIATORI</x:v>
      </x:c>
      <x:c r="H129" s="28" t="n">
        <x:v>81.9</x:v>
      </x:c>
      <x:c r="I129" s="28" t="n">
        <x:v>99.9</x:v>
      </x:c>
      <x:c r="J129" s="29" t="n">
        <x:v>22</x:v>
      </x:c>
      <x:c r="K129" s="27" t="str"/>
      <x:c r="L129" s="27" t="str"/>
      <x:c r="M129" s="27" t="str"/>
      <x:c r="N129" s="27" t="str">
        <x:v>BLACK+DECKER</x:v>
      </x:c>
      <x:c r="O129" s="27" t="str"/>
      <x:c r="P129" s="27" t="str">
        <x:v>Catalogo Black+Decker Lo Specialista 2026, pagina 100. Prezzi se presenti: raccomandati dal catalogo.</x:v>
      </x:c>
      <x:c r="Q129" s="30" t="str">
        <x:v>2026-06-10</x:v>
      </x:c>
      <x:c r="R129" s="27" t="n">
        <x:v>100</x:v>
      </x:c>
      <x:c r="S129" s="27" t="str">
        <x:v>B+D_CATALOGO Lo Specialista 2026.pdf</x:v>
      </x:c>
    </x:row>
    <x:row r="130">
      <x:c r="A130" s="27" t="str">
        <x:v>BD-0129</x:v>
      </x:c>
      <x:c r="B130" s="27" t="str">
        <x:v>5035048705186</x:v>
      </x:c>
      <x:c r="C130" s="27" t="str">
        <x:v>BEBLV300-QS</x:v>
      </x:c>
      <x:c r="D130" s="27" t="str">
        <x:v>Soffiatore - Aspiratore - Trituratore a filo 3000W con zaino</x:v>
      </x:c>
      <x:c r="E130" s="27" t="str">
        <x:v>BLACK+DECKER</x:v>
      </x:c>
      <x:c r="F130" s="27" t="str">
        <x:v>GAMMA GIARDINO</x:v>
      </x:c>
      <x:c r="G130" s="27" t="str">
        <x:v>SOFFIATORI</x:v>
      </x:c>
      <x:c r="H130" s="28" t="n">
        <x:v>90.1</x:v>
      </x:c>
      <x:c r="I130" s="28" t="n">
        <x:v>109.9</x:v>
      </x:c>
      <x:c r="J130" s="29" t="n">
        <x:v>22</x:v>
      </x:c>
      <x:c r="K130" s="27" t="str"/>
      <x:c r="L130" s="27" t="str"/>
      <x:c r="M130" s="27" t="str"/>
      <x:c r="N130" s="27" t="str">
        <x:v>BLACK+DECKER</x:v>
      </x:c>
      <x:c r="O130" s="27" t="str"/>
      <x:c r="P130" s="27" t="str">
        <x:v>Catalogo Black+Decker Lo Specialista 2026, pagina 100. Prezzi se presenti: raccomandati dal catalogo.</x:v>
      </x:c>
      <x:c r="Q130" s="30" t="str">
        <x:v>2026-06-10</x:v>
      </x:c>
      <x:c r="R130" s="27" t="n">
        <x:v>100</x:v>
      </x:c>
      <x:c r="S130" s="27" t="str">
        <x:v>B+D_CATALOGO Lo Specialista 2026.pdf</x:v>
      </x:c>
    </x:row>
    <x:row r="131">
      <x:c r="A131" s="27" t="str">
        <x:v>BD-0130</x:v>
      </x:c>
      <x:c r="B131" s="27" t="str">
        <x:v>5035048705216</x:v>
      </x:c>
      <x:c r="C131" s="27" t="str">
        <x:v>BEBLV301-QS</x:v>
      </x:c>
      <x:c r="D131" s="27" t="str">
        <x:v>Soffiatore - Aspiratore - Trituratore a filo 3000W con zaino e raschietto</x:v>
      </x:c>
      <x:c r="E131" s="27" t="str">
        <x:v>BLACK+DECKER</x:v>
      </x:c>
      <x:c r="F131" s="27" t="str">
        <x:v>GAMMA GIARDINO</x:v>
      </x:c>
      <x:c r="G131" s="27" t="str">
        <x:v>SOFFIATORI</x:v>
      </x:c>
      <x:c r="H131" s="28" t="n">
        <x:v>98.4</x:v>
      </x:c>
      <x:c r="I131" s="28" t="n">
        <x:v>120</x:v>
      </x:c>
      <x:c r="J131" s="29" t="n">
        <x:v>22</x:v>
      </x:c>
      <x:c r="K131" s="27" t="str"/>
      <x:c r="L131" s="27" t="str"/>
      <x:c r="M131" s="27" t="str"/>
      <x:c r="N131" s="27" t="str">
        <x:v>BLACK+DECKER</x:v>
      </x:c>
      <x:c r="O131" s="27" t="str"/>
      <x:c r="P131" s="27" t="str">
        <x:v>Catalogo Black+Decker Lo Specialista 2026, pagina 101. Prezzi se presenti: raccomandati dal catalogo.</x:v>
      </x:c>
      <x:c r="Q131" s="30" t="str">
        <x:v>2026-06-10</x:v>
      </x:c>
      <x:c r="R131" s="27" t="n">
        <x:v>101</x:v>
      </x:c>
      <x:c r="S131" s="27" t="str">
        <x:v>B+D_CATALOGO Lo Specialista 2026.pdf</x:v>
      </x:c>
    </x:row>
    <x:row r="132">
      <x:c r="A132" s="27" t="str">
        <x:v>BD-0131</x:v>
      </x:c>
      <x:c r="B132" s="27" t="str">
        <x:v>5035048808245</x:v>
      </x:c>
      <x:c r="C132" s="27" t="str">
        <x:v>BECS1835-QS</x:v>
      </x:c>
      <x:c r="D132" s="27" t="str">
        <x:v>Elettrosega a filo 1800W</x:v>
      </x:c>
      <x:c r="E132" s="27" t="str">
        <x:v>BLACK+DECKER</x:v>
      </x:c>
      <x:c r="F132" s="27" t="str">
        <x:v>GAMMA GIARDINO</x:v>
      </x:c>
      <x:c r="G132" s="27" t="str">
        <x:v>ELETTROSEGHE E POTATORI</x:v>
      </x:c>
      <x:c r="H132" s="28" t="n">
        <x:v>82.1</x:v>
      </x:c>
      <x:c r="I132" s="28" t="n">
        <x:v>100.2</x:v>
      </x:c>
      <x:c r="J132" s="29" t="n">
        <x:v>22</x:v>
      </x:c>
      <x:c r="K132" s="27" t="str"/>
      <x:c r="L132" s="27" t="str"/>
      <x:c r="M132" s="27" t="str"/>
      <x:c r="N132" s="27" t="str">
        <x:v>BLACK+DECKER</x:v>
      </x:c>
      <x:c r="O132" s="27" t="str"/>
      <x:c r="P132" s="27" t="str">
        <x:v>Catalogo Black+Decker Lo Specialista 2026, pagina 104. Prezzi se presenti: raccomandati dal catalogo.</x:v>
      </x:c>
      <x:c r="Q132" s="30" t="str">
        <x:v>2026-06-10</x:v>
      </x:c>
      <x:c r="R132" s="27" t="n">
        <x:v>104</x:v>
      </x:c>
      <x:c r="S132" s="27" t="str">
        <x:v>B+D_CATALOGO Lo Specialista 2026.pdf</x:v>
      </x:c>
    </x:row>
    <x:row r="133">
      <x:c r="A133" s="27" t="str">
        <x:v>BD-0132</x:v>
      </x:c>
      <x:c r="B133" s="27" t="str">
        <x:v>5035048808269</x:v>
      </x:c>
      <x:c r="C133" s="27" t="str">
        <x:v>BECS2040-QS</x:v>
      </x:c>
      <x:c r="D133" s="27" t="str">
        <x:v>Elettrosega a filo 2000W</x:v>
      </x:c>
      <x:c r="E133" s="27" t="str">
        <x:v>BLACK+DECKER</x:v>
      </x:c>
      <x:c r="F133" s="27" t="str">
        <x:v>GAMMA GIARDINO</x:v>
      </x:c>
      <x:c r="G133" s="27" t="str">
        <x:v>ELETTROSEGHE E POTATORI</x:v>
      </x:c>
      <x:c r="H133" s="28" t="n">
        <x:v>98.3</x:v>
      </x:c>
      <x:c r="I133" s="28" t="n">
        <x:v>119.9</x:v>
      </x:c>
      <x:c r="J133" s="29" t="n">
        <x:v>22</x:v>
      </x:c>
      <x:c r="K133" s="27" t="str"/>
      <x:c r="L133" s="27" t="str"/>
      <x:c r="M133" s="27" t="str"/>
      <x:c r="N133" s="27" t="str">
        <x:v>BLACK+DECKER</x:v>
      </x:c>
      <x:c r="O133" s="27" t="str"/>
      <x:c r="P133" s="27" t="str">
        <x:v>Catalogo Black+Decker Lo Specialista 2026, pagina 104. Prezzi se presenti: raccomandati dal catalogo.</x:v>
      </x:c>
      <x:c r="Q133" s="30" t="str">
        <x:v>2026-06-10</x:v>
      </x:c>
      <x:c r="R133" s="27" t="n">
        <x:v>104</x:v>
      </x:c>
      <x:c r="S133" s="27" t="str">
        <x:v>B+D_CATALOGO Lo Specialista 2026.pdf</x:v>
      </x:c>
    </x:row>
    <x:row r="134">
      <x:c r="A134" s="27" t="str">
        <x:v>BD-0133</x:v>
      </x:c>
      <x:c r="B134" s="27" t="str">
        <x:v>5035048808283</x:v>
      </x:c>
      <x:c r="C134" s="27" t="str">
        <x:v>BECS2245-QS</x:v>
      </x:c>
      <x:c r="D134" s="27" t="str">
        <x:v>Elettrosega a filo 2200W</x:v>
      </x:c>
      <x:c r="E134" s="27" t="str">
        <x:v>BLACK+DECKER</x:v>
      </x:c>
      <x:c r="F134" s="27" t="str">
        <x:v>GAMMA GIARDINO</x:v>
      </x:c>
      <x:c r="G134" s="27" t="str">
        <x:v>ELETTROSEGHE E POTATORI</x:v>
      </x:c>
      <x:c r="H134" s="28" t="n">
        <x:v>114.6</x:v>
      </x:c>
      <x:c r="I134" s="28" t="n">
        <x:v>139.8</x:v>
      </x:c>
      <x:c r="J134" s="29" t="n">
        <x:v>22</x:v>
      </x:c>
      <x:c r="K134" s="27" t="str"/>
      <x:c r="L134" s="27" t="str"/>
      <x:c r="M134" s="27" t="str"/>
      <x:c r="N134" s="27" t="str">
        <x:v>BLACK+DECKER</x:v>
      </x:c>
      <x:c r="O134" s="27" t="str"/>
      <x:c r="P134" s="27" t="str">
        <x:v>Catalogo Black+Decker Lo Specialista 2026, pagina 105. Prezzi se presenti: raccomandati dal catalogo.</x:v>
      </x:c>
      <x:c r="Q134" s="30" t="str">
        <x:v>2026-06-10</x:v>
      </x:c>
      <x:c r="R134" s="27" t="n">
        <x:v>105</x:v>
      </x:c>
      <x:c r="S134" s="27" t="str">
        <x:v>B+D_CATALOGO Lo Specialista 2026.pdf</x:v>
      </x:c>
    </x:row>
    <x:row r="135">
      <x:c r="A135" s="27" t="str">
        <x:v>BD-0134</x:v>
      </x:c>
      <x:c r="B135" s="27" t="str">
        <x:v>5035048704295</x:v>
      </x:c>
      <x:c r="C135" s="27" t="str">
        <x:v>BEG010-QS</x:v>
      </x:c>
      <x:c r="D135" s="27" t="str">
        <x:v>Smerigliatrice angolare 710W-115mm</x:v>
      </x:c>
      <x:c r="E135" s="27" t="str">
        <x:v>BLACK+DECKER</x:v>
      </x:c>
      <x:c r="F135" s="27" t="str">
        <x:v>ELETTROUTENSILI</x:v>
      </x:c>
      <x:c r="G135" s="27" t="str">
        <x:v>SMERIGLIATRICI</x:v>
      </x:c>
      <x:c r="H135" s="28" t="n">
        <x:v>28.8</x:v>
      </x:c>
      <x:c r="I135" s="28" t="n">
        <x:v>35.1</x:v>
      </x:c>
      <x:c r="J135" s="29" t="n">
        <x:v>22</x:v>
      </x:c>
      <x:c r="K135" s="27" t="str"/>
      <x:c r="L135" s="27" t="str"/>
      <x:c r="M135" s="27" t="str"/>
      <x:c r="N135" s="27" t="str">
        <x:v>BLACK+DECKER</x:v>
      </x:c>
      <x:c r="O135" s="27" t="str"/>
      <x:c r="P135" s="27" t="str">
        <x:v>Catalogo Black+Decker Lo Specialista 2026, pagina 52. Prezzi se presenti: raccomandati dal catalogo.</x:v>
      </x:c>
      <x:c r="Q135" s="30" t="str">
        <x:v>2026-06-10</x:v>
      </x:c>
      <x:c r="R135" s="27" t="n">
        <x:v>52</x:v>
      </x:c>
      <x:c r="S135" s="27" t="str">
        <x:v>B+D_CATALOGO Lo Specialista 2026.pdf</x:v>
      </x:c>
    </x:row>
    <x:row r="136">
      <x:c r="A136" s="27" t="str">
        <x:v>BD-0135</x:v>
      </x:c>
      <x:c r="B136" s="27" t="str">
        <x:v>5035048677384</x:v>
      </x:c>
      <x:c r="C136" s="27" t="str">
        <x:v>BEG210-QS</x:v>
      </x:c>
      <x:c r="D136" s="27" t="str">
        <x:v>Smerigliatrice angolare 900W-115mm</x:v>
      </x:c>
      <x:c r="E136" s="27" t="str">
        <x:v>BLACK+DECKER</x:v>
      </x:c>
      <x:c r="F136" s="27" t="str">
        <x:v>ELETTROUTENSILI</x:v>
      </x:c>
      <x:c r="G136" s="27" t="str">
        <x:v>SMERIGLIATRICI</x:v>
      </x:c>
      <x:c r="H136" s="28" t="n">
        <x:v>32.7</x:v>
      </x:c>
      <x:c r="I136" s="28" t="n">
        <x:v>39.9</x:v>
      </x:c>
      <x:c r="J136" s="29" t="n">
        <x:v>22</x:v>
      </x:c>
      <x:c r="K136" s="27" t="str"/>
      <x:c r="L136" s="27" t="str"/>
      <x:c r="M136" s="27" t="str"/>
      <x:c r="N136" s="27" t="str">
        <x:v>BLACK+DECKER</x:v>
      </x:c>
      <x:c r="O136" s="27" t="str"/>
      <x:c r="P136" s="27" t="str">
        <x:v>Catalogo Black+Decker Lo Specialista 2026, pagina 52. Prezzi se presenti: raccomandati dal catalogo.</x:v>
      </x:c>
      <x:c r="Q136" s="30" t="str">
        <x:v>2026-06-10</x:v>
      </x:c>
      <x:c r="R136" s="27" t="n">
        <x:v>52</x:v>
      </x:c>
      <x:c r="S136" s="27" t="str">
        <x:v>B+D_CATALOGO Lo Specialista 2026.pdf</x:v>
      </x:c>
    </x:row>
    <x:row r="137">
      <x:c r="A137" s="27" t="str">
        <x:v>BD-0136</x:v>
      </x:c>
      <x:c r="B137" s="27" t="str">
        <x:v>5035048677391</x:v>
      </x:c>
      <x:c r="C137" s="27" t="str">
        <x:v>BEG210K-QS</x:v>
      </x:c>
      <x:c r="D137" s="27" t="str">
        <x:v>Smerigliatrice angolare 900W-115mm in valigetta</x:v>
      </x:c>
      <x:c r="E137" s="27" t="str">
        <x:v>BLACK+DECKER</x:v>
      </x:c>
      <x:c r="F137" s="27" t="str">
        <x:v>ELETTROUTENSILI</x:v>
      </x:c>
      <x:c r="G137" s="27" t="str">
        <x:v>SMERIGLIATRICI</x:v>
      </x:c>
      <x:c r="H137" s="28" t="n">
        <x:v>40.9</x:v>
      </x:c>
      <x:c r="I137" s="28" t="n">
        <x:v>49.9</x:v>
      </x:c>
      <x:c r="J137" s="29" t="n">
        <x:v>22</x:v>
      </x:c>
      <x:c r="K137" s="27" t="str"/>
      <x:c r="L137" s="27" t="str"/>
      <x:c r="M137" s="27" t="str"/>
      <x:c r="N137" s="27" t="str">
        <x:v>BLACK+DECKER</x:v>
      </x:c>
      <x:c r="O137" s="27" t="str"/>
      <x:c r="P137" s="27" t="str">
        <x:v>Catalogo Black+Decker Lo Specialista 2026, pagina 52. Prezzi se presenti: raccomandati dal catalogo.</x:v>
      </x:c>
      <x:c r="Q137" s="30" t="str">
        <x:v>2026-06-10</x:v>
      </x:c>
      <x:c r="R137" s="27" t="n">
        <x:v>52</x:v>
      </x:c>
      <x:c r="S137" s="27" t="str">
        <x:v>B+D_CATALOGO Lo Specialista 2026.pdf</x:v>
      </x:c>
    </x:row>
    <x:row r="138">
      <x:c r="A138" s="27" t="str">
        <x:v>BD-0137</x:v>
      </x:c>
      <x:c r="B138" s="27" t="str">
        <x:v>5035048677421</x:v>
      </x:c>
      <x:c r="C138" s="27" t="str">
        <x:v>BEG220-QS</x:v>
      </x:c>
      <x:c r="D138" s="27" t="str">
        <x:v>Smerigliatrice angolare 900W-125mm</x:v>
      </x:c>
      <x:c r="E138" s="27" t="str">
        <x:v>BLACK+DECKER</x:v>
      </x:c>
      <x:c r="F138" s="27" t="str">
        <x:v>ELETTROUTENSILI</x:v>
      </x:c>
      <x:c r="G138" s="27" t="str">
        <x:v>SMERIGLIATRICI</x:v>
      </x:c>
      <x:c r="H138" s="28" t="n">
        <x:v>36.8</x:v>
      </x:c>
      <x:c r="I138" s="28" t="n">
        <x:v>44.9</x:v>
      </x:c>
      <x:c r="J138" s="29" t="n">
        <x:v>22</x:v>
      </x:c>
      <x:c r="K138" s="27" t="str"/>
      <x:c r="L138" s="27" t="str"/>
      <x:c r="M138" s="27" t="str"/>
      <x:c r="N138" s="27" t="str">
        <x:v>BLACK+DECKER</x:v>
      </x:c>
      <x:c r="O138" s="27" t="str"/>
      <x:c r="P138" s="27" t="str">
        <x:v>Catalogo Black+Decker Lo Specialista 2026, pagina 53. Prezzi se presenti: raccomandati dal catalogo.</x:v>
      </x:c>
      <x:c r="Q138" s="30" t="str">
        <x:v>2026-06-10</x:v>
      </x:c>
      <x:c r="R138" s="27" t="n">
        <x:v>53</x:v>
      </x:c>
      <x:c r="S138" s="27" t="str">
        <x:v>B+D_CATALOGO Lo Specialista 2026.pdf</x:v>
      </x:c>
    </x:row>
    <x:row r="139">
      <x:c r="A139" s="27" t="str">
        <x:v>BD-0138</x:v>
      </x:c>
      <x:c r="B139" s="27" t="str">
        <x:v>5035048706824</x:v>
      </x:c>
      <x:c r="C139" s="27" t="str">
        <x:v>BEGAS5800-QS</x:v>
      </x:c>
      <x:c r="D139" s="27" t="str">
        <x:v>Biotrituratore 2800W</x:v>
      </x:c>
      <x:c r="E139" s="27" t="str">
        <x:v>BLACK+DECKER</x:v>
      </x:c>
      <x:c r="F139" s="27" t="str">
        <x:v>GAMMA GIARDINO</x:v>
      </x:c>
      <x:c r="G139" s="27" t="str">
        <x:v>ALTRI UTENSILI DA GIARDINO</x:v>
      </x:c>
      <x:c r="H139" s="28" t="n">
        <x:v>245.9</x:v>
      </x:c>
      <x:c r="I139" s="28" t="n">
        <x:v>300</x:v>
      </x:c>
      <x:c r="J139" s="29" t="n">
        <x:v>22</x:v>
      </x:c>
      <x:c r="K139" s="27" t="str"/>
      <x:c r="L139" s="27" t="str"/>
      <x:c r="M139" s="27" t="str"/>
      <x:c r="N139" s="27" t="str">
        <x:v>BLACK+DECKER</x:v>
      </x:c>
      <x:c r="O139" s="27" t="str"/>
      <x:c r="P139" s="27" t="str">
        <x:v>Catalogo Black+Decker Lo Specialista 2026, pagina 118. Prezzi se presenti: raccomandati dal catalogo.</x:v>
      </x:c>
      <x:c r="Q139" s="30" t="str">
        <x:v>2026-06-10</x:v>
      </x:c>
      <x:c r="R139" s="27" t="n">
        <x:v>118</x:v>
      </x:c>
      <x:c r="S139" s="27" t="str">
        <x:v>B+D_CATALOGO Lo Specialista 2026.pdf</x:v>
      </x:c>
    </x:row>
    <x:row r="140">
      <x:c r="A140" s="27" t="str">
        <x:v>BD-0139</x:v>
      </x:c>
      <x:c r="B140" s="27" t="str">
        <x:v>5035048704219</x:v>
      </x:c>
      <x:c r="C140" s="27" t="str">
        <x:v>BEH200-QS</x:v>
      </x:c>
      <x:c r="D140" s="27" t="str">
        <x:v>Trapano a percussione a filo 500W</x:v>
      </x:c>
      <x:c r="E140" s="27" t="str">
        <x:v>BLACK+DECKER</x:v>
      </x:c>
      <x:c r="F140" s="27" t="str">
        <x:v>ELETTROUTENSILI</x:v>
      </x:c>
      <x:c r="G140" s="27" t="str">
        <x:v>TRAPANI A FILO</x:v>
      </x:c>
      <x:c r="H140" s="28" t="n">
        <x:v>32.7</x:v>
      </x:c>
      <x:c r="I140" s="28" t="n">
        <x:v>39.9</x:v>
      </x:c>
      <x:c r="J140" s="29" t="n">
        <x:v>22</x:v>
      </x:c>
      <x:c r="K140" s="27" t="str"/>
      <x:c r="L140" s="27" t="str"/>
      <x:c r="M140" s="27" t="str"/>
      <x:c r="N140" s="27" t="str">
        <x:v>BLACK+DECKER</x:v>
      </x:c>
      <x:c r="O140" s="27" t="str"/>
      <x:c r="P140" s="27" t="str">
        <x:v>Catalogo Black+Decker Lo Specialista 2026, pagina 12. Prezzi se presenti: raccomandati dal catalogo.</x:v>
      </x:c>
      <x:c r="Q140" s="30" t="str">
        <x:v>2026-06-10</x:v>
      </x:c>
      <x:c r="R140" s="27" t="n">
        <x:v>12</x:v>
      </x:c>
      <x:c r="S140" s="27" t="str">
        <x:v>B+D_CATALOGO Lo Specialista 2026.pdf</x:v>
      </x:c>
    </x:row>
    <x:row r="141">
      <x:c r="A141" s="27" t="str">
        <x:v>BD-0140</x:v>
      </x:c>
      <x:c r="B141" s="27" t="str">
        <x:v>5035048680391</x:v>
      </x:c>
      <x:c r="C141" s="27" t="str">
        <x:v>BEH550-QS</x:v>
      </x:c>
      <x:c r="D141" s="27" t="str">
        <x:v>Trapano a percussione a filo 550W</x:v>
      </x:c>
      <x:c r="E141" s="27" t="str">
        <x:v>BLACK+DECKER</x:v>
      </x:c>
      <x:c r="F141" s="27" t="str">
        <x:v>ELETTROUTENSILI</x:v>
      </x:c>
      <x:c r="G141" s="27" t="str">
        <x:v>TRAPANI A FILO</x:v>
      </x:c>
      <x:c r="H141" s="28" t="n">
        <x:v>36.9</x:v>
      </x:c>
      <x:c r="I141" s="28" t="n">
        <x:v>45.9</x:v>
      </x:c>
      <x:c r="J141" s="29" t="n">
        <x:v>22</x:v>
      </x:c>
      <x:c r="K141" s="27" t="str"/>
      <x:c r="L141" s="27" t="str"/>
      <x:c r="M141" s="27" t="str"/>
      <x:c r="N141" s="27" t="str">
        <x:v>BLACK+DECKER</x:v>
      </x:c>
      <x:c r="O141" s="27" t="str"/>
      <x:c r="P141" s="27" t="str">
        <x:v>Catalogo Black+Decker Lo Specialista 2026, pagina 12. Prezzi se presenti: raccomandati dal catalogo.</x:v>
      </x:c>
      <x:c r="Q141" s="30" t="str">
        <x:v>2026-06-10</x:v>
      </x:c>
      <x:c r="R141" s="27" t="n">
        <x:v>12</x:v>
      </x:c>
      <x:c r="S141" s="27" t="str">
        <x:v>B+D_CATALOGO Lo Specialista 2026.pdf</x:v>
      </x:c>
    </x:row>
    <x:row r="142">
      <x:c r="A142" s="27" t="str">
        <x:v>BD-0141</x:v>
      </x:c>
      <x:c r="B142" s="27" t="str">
        <x:v>5035048681213</x:v>
      </x:c>
      <x:c r="C142" s="27" t="str">
        <x:v>BEH550K-QS</x:v>
      </x:c>
      <x:c r="D142" s="27" t="str">
        <x:v>Trapano a percussione a filo 550W</x:v>
      </x:c>
      <x:c r="E142" s="27" t="str">
        <x:v>BLACK+DECKER</x:v>
      </x:c>
      <x:c r="F142" s="27" t="str">
        <x:v>ELETTROUTENSILI</x:v>
      </x:c>
      <x:c r="G142" s="27" t="str">
        <x:v>TRAPANI A FILO</x:v>
      </x:c>
      <x:c r="H142" s="28" t="n">
        <x:v>40.9</x:v>
      </x:c>
      <x:c r="I142" s="28" t="n">
        <x:v>49.9</x:v>
      </x:c>
      <x:c r="J142" s="29" t="n">
        <x:v>22</x:v>
      </x:c>
      <x:c r="K142" s="27" t="str"/>
      <x:c r="L142" s="27" t="str"/>
      <x:c r="M142" s="27" t="str"/>
      <x:c r="N142" s="27" t="str">
        <x:v>BLACK+DECKER</x:v>
      </x:c>
      <x:c r="O142" s="27" t="str"/>
      <x:c r="P142" s="27" t="str">
        <x:v>Catalogo Black+Decker Lo Specialista 2026, pagina 12. Prezzi se presenti: raccomandati dal catalogo.</x:v>
      </x:c>
      <x:c r="Q142" s="30" t="str">
        <x:v>2026-06-10</x:v>
      </x:c>
      <x:c r="R142" s="27" t="n">
        <x:v>12</x:v>
      </x:c>
      <x:c r="S142" s="27" t="str">
        <x:v>B+D_CATALOGO Lo Specialista 2026.pdf</x:v>
      </x:c>
    </x:row>
    <x:row r="143">
      <x:c r="A143" s="27" t="str">
        <x:v>BD-0142</x:v>
      </x:c>
      <x:c r="B143" s="27" t="str">
        <x:v>5035048681343</x:v>
      </x:c>
      <x:c r="C143" s="27" t="str">
        <x:v>BEH710K-QS</x:v>
      </x:c>
      <x:c r="D143" s="27" t="str">
        <x:v>Trapano a percussione a filo 710W in valigetta</x:v>
      </x:c>
      <x:c r="E143" s="27" t="str">
        <x:v>BLACK+DECKER</x:v>
      </x:c>
      <x:c r="F143" s="27" t="str">
        <x:v>ELETTROUTENSILI</x:v>
      </x:c>
      <x:c r="G143" s="27" t="str">
        <x:v>TRAPANI A FILO</x:v>
      </x:c>
      <x:c r="H143" s="28" t="n">
        <x:v>45</x:v>
      </x:c>
      <x:c r="I143" s="28" t="n">
        <x:v>54.9</x:v>
      </x:c>
      <x:c r="J143" s="29" t="n">
        <x:v>22</x:v>
      </x:c>
      <x:c r="K143" s="27" t="str"/>
      <x:c r="L143" s="27" t="str"/>
      <x:c r="M143" s="27" t="str"/>
      <x:c r="N143" s="27" t="str">
        <x:v>BLACK+DECKER</x:v>
      </x:c>
      <x:c r="O143" s="27" t="str"/>
      <x:c r="P143" s="27" t="str">
        <x:v>Catalogo Black+Decker Lo Specialista 2026, pagina 13. Prezzi se presenti: raccomandati dal catalogo.</x:v>
      </x:c>
      <x:c r="Q143" s="30" t="str">
        <x:v>2026-06-10</x:v>
      </x:c>
      <x:c r="R143" s="27" t="n">
        <x:v>13</x:v>
      </x:c>
      <x:c r="S143" s="27" t="str">
        <x:v>B+D_CATALOGO Lo Specialista 2026.pdf</x:v>
      </x:c>
    </x:row>
    <x:row r="144">
      <x:c r="A144" s="27" t="str">
        <x:v>BD-0143</x:v>
      </x:c>
      <x:c r="B144" s="27" t="str">
        <x:v>5035048681404</x:v>
      </x:c>
      <x:c r="C144" s="27" t="str">
        <x:v>BEH850K-QS</x:v>
      </x:c>
      <x:c r="D144" s="27" t="str">
        <x:v>Trapano a percussione a filo 850W in valigetta</x:v>
      </x:c>
      <x:c r="E144" s="27" t="str">
        <x:v>BLACK+DECKER</x:v>
      </x:c>
      <x:c r="F144" s="27" t="str">
        <x:v>ELETTROUTENSILI</x:v>
      </x:c>
      <x:c r="G144" s="27" t="str">
        <x:v>TRAPANI A FILO</x:v>
      </x:c>
      <x:c r="H144" s="28" t="n">
        <x:v>63.5</x:v>
      </x:c>
      <x:c r="I144" s="28" t="n">
        <x:v>77.5</x:v>
      </x:c>
      <x:c r="J144" s="29" t="n">
        <x:v>22</x:v>
      </x:c>
      <x:c r="K144" s="27" t="str"/>
      <x:c r="L144" s="27" t="str"/>
      <x:c r="M144" s="27" t="str"/>
      <x:c r="N144" s="27" t="str">
        <x:v>BLACK+DECKER</x:v>
      </x:c>
      <x:c r="O144" s="27" t="str"/>
      <x:c r="P144" s="27" t="str">
        <x:v>Catalogo Black+Decker Lo Specialista 2026, pagina 13. Prezzi se presenti: raccomandati dal catalogo.</x:v>
      </x:c>
      <x:c r="Q144" s="30" t="str">
        <x:v>2026-06-10</x:v>
      </x:c>
      <x:c r="R144" s="27" t="n">
        <x:v>13</x:v>
      </x:c>
      <x:c r="S144" s="27" t="str">
        <x:v>B+D_CATALOGO Lo Specialista 2026.pdf</x:v>
      </x:c>
    </x:row>
    <x:row r="145">
      <x:c r="A145" s="27" t="str">
        <x:v>BD-0144</x:v>
      </x:c>
      <x:c r="B145" s="27" t="str">
        <x:v>5035048730416</x:v>
      </x:c>
      <x:c r="C145" s="27" t="str">
        <x:v>BEHS01-QS</x:v>
      </x:c>
      <x:c r="D145" s="27" t="str">
        <x:v>Martello tassellatore scalpellatore 650W</x:v>
      </x:c>
      <x:c r="E145" s="27" t="str">
        <x:v>BLACK+DECKER</x:v>
      </x:c>
      <x:c r="F145" s="27" t="str">
        <x:v>ELETTROUTENSILI</x:v>
      </x:c>
      <x:c r="G145" s="27" t="str">
        <x:v>TASSELLATORI</x:v>
      </x:c>
      <x:c r="H145" s="28" t="n">
        <x:v>73.7</x:v>
      </x:c>
      <x:c r="I145" s="28" t="n">
        <x:v>89.9</x:v>
      </x:c>
      <x:c r="J145" s="29" t="n">
        <x:v>22</x:v>
      </x:c>
      <x:c r="K145" s="27" t="str"/>
      <x:c r="L145" s="27" t="str"/>
      <x:c r="M145" s="27" t="str"/>
      <x:c r="N145" s="27" t="str">
        <x:v>BLACK+DECKER</x:v>
      </x:c>
      <x:c r="O145" s="27" t="str"/>
      <x:c r="P145" s="27" t="str">
        <x:v>Catalogo Black+Decker Lo Specialista 2026, pagina 23. Prezzi se presenti: raccomandati dal catalogo.</x:v>
      </x:c>
      <x:c r="Q145" s="30" t="str">
        <x:v>2026-06-10</x:v>
      </x:c>
      <x:c r="R145" s="27" t="n">
        <x:v>23</x:v>
      </x:c>
      <x:c r="S145" s="27" t="str">
        <x:v>B+D_CATALOGO Lo Specialista 2026.pdf</x:v>
      </x:c>
    </x:row>
    <x:row r="146">
      <x:c r="A146" s="27" t="str">
        <x:v>BD-0145</x:v>
      </x:c>
      <x:c r="B146" s="27" t="str">
        <x:v>5035048730485</x:v>
      </x:c>
      <x:c r="C146" s="27" t="str">
        <x:v>BEHS02K-QS</x:v>
      </x:c>
      <x:c r="D146" s="27" t="str">
        <x:v>Martello tassellatore scalpellatore 800W in valigetta</x:v>
      </x:c>
      <x:c r="E146" s="27" t="str">
        <x:v>BLACK+DECKER</x:v>
      </x:c>
      <x:c r="F146" s="27" t="str">
        <x:v>ELETTROUTENSILI</x:v>
      </x:c>
      <x:c r="G146" s="27" t="str">
        <x:v>TASSELLATORI</x:v>
      </x:c>
      <x:c r="H146" s="28" t="n">
        <x:v>98.3</x:v>
      </x:c>
      <x:c r="I146" s="28" t="n">
        <x:v>119.9</x:v>
      </x:c>
      <x:c r="J146" s="29" t="n">
        <x:v>22</x:v>
      </x:c>
      <x:c r="K146" s="27" t="str"/>
      <x:c r="L146" s="27" t="str"/>
      <x:c r="M146" s="27" t="str"/>
      <x:c r="N146" s="27" t="str">
        <x:v>BLACK+DECKER</x:v>
      </x:c>
      <x:c r="O146" s="27" t="str"/>
      <x:c r="P146" s="27" t="str">
        <x:v>Catalogo Black+Decker Lo Specialista 2026, pagina 23. Prezzi se presenti: raccomandati dal catalogo.</x:v>
      </x:c>
      <x:c r="Q146" s="30" t="str">
        <x:v>2026-06-10</x:v>
      </x:c>
      <x:c r="R146" s="27" t="n">
        <x:v>23</x:v>
      </x:c>
      <x:c r="S146" s="27" t="str">
        <x:v>B+D_CATALOGO Lo Specialista 2026.pdf</x:v>
      </x:c>
    </x:row>
    <x:row r="147">
      <x:c r="A147" s="27" t="str">
        <x:v>BD-0146</x:v>
      </x:c>
      <x:c r="B147" s="27" t="str">
        <x:v>5035048730515</x:v>
      </x:c>
      <x:c r="C147" s="27" t="str">
        <x:v>BEHS03K-QS</x:v>
      </x:c>
      <x:c r="D147" s="27" t="str">
        <x:v>Martello demolitore scalpellatore 1250W in valigetta</x:v>
      </x:c>
      <x:c r="E147" s="27" t="str">
        <x:v>BLACK+DECKER</x:v>
      </x:c>
      <x:c r="F147" s="27" t="str">
        <x:v>ELETTROUTENSILI</x:v>
      </x:c>
      <x:c r="G147" s="27" t="str">
        <x:v>TASSELLATORI</x:v>
      </x:c>
      <x:c r="H147" s="28" t="n">
        <x:v>106.5</x:v>
      </x:c>
      <x:c r="I147" s="28" t="n">
        <x:v>129.9</x:v>
      </x:c>
      <x:c r="J147" s="29" t="n">
        <x:v>22</x:v>
      </x:c>
      <x:c r="K147" s="27" t="str"/>
      <x:c r="L147" s="27" t="str"/>
      <x:c r="M147" s="27" t="str"/>
      <x:c r="N147" s="27" t="str">
        <x:v>BLACK+DECKER</x:v>
      </x:c>
      <x:c r="O147" s="27" t="str"/>
      <x:c r="P147" s="27" t="str">
        <x:v>Catalogo Black+Decker Lo Specialista 2026, pagina 24. Prezzi se presenti: raccomandati dal catalogo.</x:v>
      </x:c>
      <x:c r="Q147" s="30" t="str">
        <x:v>2026-06-10</x:v>
      </x:c>
      <x:c r="R147" s="27" t="n">
        <x:v>24</x:v>
      </x:c>
      <x:c r="S147" s="27" t="str">
        <x:v>B+D_CATALOGO Lo Specialista 2026.pdf</x:v>
      </x:c>
    </x:row>
    <x:row r="148">
      <x:c r="A148" s="27" t="str">
        <x:v>BD-0147</x:v>
      </x:c>
      <x:c r="B148" s="27" t="str">
        <x:v>5035048677988</x:v>
      </x:c>
      <x:c r="C148" s="27" t="str">
        <x:v>BEHT201-QS</x:v>
      </x:c>
      <x:c r="D148" s="27" t="str">
        <x:v>Tagliasiepi a filo 420W</x:v>
      </x:c>
      <x:c r="E148" s="27" t="str">
        <x:v>BLACK+DECKER</x:v>
      </x:c>
      <x:c r="F148" s="27" t="str">
        <x:v>GAMMA GIARDINO</x:v>
      </x:c>
      <x:c r="G148" s="27" t="str">
        <x:v>TAGLIASIEPI E CESOIE</x:v>
      </x:c>
      <x:c r="H148" s="28" t="n">
        <x:v>49.1</x:v>
      </x:c>
      <x:c r="I148" s="28" t="n">
        <x:v>59.9</x:v>
      </x:c>
      <x:c r="J148" s="29" t="n">
        <x:v>22</x:v>
      </x:c>
      <x:c r="K148" s="27" t="str"/>
      <x:c r="L148" s="27" t="str"/>
      <x:c r="M148" s="27" t="str"/>
      <x:c r="N148" s="27" t="str">
        <x:v>BLACK+DECKER</x:v>
      </x:c>
      <x:c r="O148" s="27" t="str"/>
      <x:c r="P148" s="27" t="str">
        <x:v>Catalogo Black+Decker Lo Specialista 2026, pagina 111. Prezzi se presenti: raccomandati dal catalogo.</x:v>
      </x:c>
      <x:c r="Q148" s="30" t="str">
        <x:v>2026-06-10</x:v>
      </x:c>
      <x:c r="R148" s="27" t="n">
        <x:v>111</x:v>
      </x:c>
      <x:c r="S148" s="27" t="str">
        <x:v>B+D_CATALOGO Lo Specialista 2026.pdf</x:v>
      </x:c>
    </x:row>
    <x:row r="149">
      <x:c r="A149" s="27" t="str">
        <x:v>BD-0148</x:v>
      </x:c>
      <x:c r="B149" s="27" t="str">
        <x:v>5035048678015</x:v>
      </x:c>
      <x:c r="C149" s="27" t="str">
        <x:v>BEHT251-QS</x:v>
      </x:c>
      <x:c r="D149" s="27" t="str">
        <x:v>Tagliasiepi a filo 450W</x:v>
      </x:c>
      <x:c r="E149" s="27" t="str">
        <x:v>BLACK+DECKER</x:v>
      </x:c>
      <x:c r="F149" s="27" t="str">
        <x:v>GAMMA GIARDINO</x:v>
      </x:c>
      <x:c r="G149" s="27" t="str">
        <x:v>TAGLIASIEPI E CESOIE</x:v>
      </x:c>
      <x:c r="H149" s="28" t="n">
        <x:v>57.3</x:v>
      </x:c>
      <x:c r="I149" s="28" t="n">
        <x:v>69.9</x:v>
      </x:c>
      <x:c r="J149" s="29" t="n">
        <x:v>22</x:v>
      </x:c>
      <x:c r="K149" s="27" t="str"/>
      <x:c r="L149" s="27" t="str"/>
      <x:c r="M149" s="27" t="str"/>
      <x:c r="N149" s="27" t="str">
        <x:v>BLACK+DECKER</x:v>
      </x:c>
      <x:c r="O149" s="27" t="str"/>
      <x:c r="P149" s="27" t="str">
        <x:v>Catalogo Black+Decker Lo Specialista 2026, pagina 111. Prezzi se presenti: raccomandati dal catalogo.</x:v>
      </x:c>
      <x:c r="Q149" s="30" t="str">
        <x:v>2026-06-10</x:v>
      </x:c>
      <x:c r="R149" s="27" t="n">
        <x:v>111</x:v>
      </x:c>
      <x:c r="S149" s="27" t="str">
        <x:v>B+D_CATALOGO Lo Specialista 2026.pdf</x:v>
      </x:c>
    </x:row>
    <x:row r="150">
      <x:c r="A150" s="27" t="str">
        <x:v>BD-0149</x:v>
      </x:c>
      <x:c r="B150" s="27" t="str">
        <x:v>5035048678084</x:v>
      </x:c>
      <x:c r="C150" s="27" t="str">
        <x:v>BEHTS401-QS</x:v>
      </x:c>
      <x:c r="D150" s="27" t="str">
        <x:v>Tagliasiepi a filo 500W con innovativa lama seghettata</x:v>
      </x:c>
      <x:c r="E150" s="27" t="str">
        <x:v>BLACK+DECKER</x:v>
      </x:c>
      <x:c r="F150" s="27" t="str">
        <x:v>GAMMA GIARDINO</x:v>
      </x:c>
      <x:c r="G150" s="27" t="str">
        <x:v>TAGLIASIEPI E CESOIE</x:v>
      </x:c>
      <x:c r="H150" s="28" t="n">
        <x:v>73.7</x:v>
      </x:c>
      <x:c r="I150" s="28" t="n">
        <x:v>89.9</x:v>
      </x:c>
      <x:c r="J150" s="29" t="n">
        <x:v>22</x:v>
      </x:c>
      <x:c r="K150" s="27" t="str"/>
      <x:c r="L150" s="27" t="str"/>
      <x:c r="M150" s="27" t="str"/>
      <x:c r="N150" s="27" t="str">
        <x:v>BLACK+DECKER</x:v>
      </x:c>
      <x:c r="O150" s="27" t="str"/>
      <x:c r="P150" s="27" t="str">
        <x:v>Catalogo Black+Decker Lo Specialista 2026, pagina 112. Prezzi se presenti: raccomandati dal catalogo.</x:v>
      </x:c>
      <x:c r="Q150" s="30" t="str">
        <x:v>2026-06-10</x:v>
      </x:c>
      <x:c r="R150" s="27" t="n">
        <x:v>112</x:v>
      </x:c>
      <x:c r="S150" s="27" t="str">
        <x:v>B+D_CATALOGO Lo Specialista 2026.pdf</x:v>
      </x:c>
    </x:row>
    <x:row r="151">
      <x:c r="A151" s="27" t="str">
        <x:v>BD-0150</x:v>
      </x:c>
      <x:c r="B151" s="27" t="str">
        <x:v>5035048728017</x:v>
      </x:c>
      <x:c r="C151" s="27" t="str">
        <x:v>BEHTS551-QS</x:v>
      </x:c>
      <x:c r="D151" s="27" t="str">
        <x:v>Tagliasiepi a filo 650W con impugnatura rotante</x:v>
      </x:c>
      <x:c r="E151" s="27" t="str">
        <x:v>BLACK+DECKER</x:v>
      </x:c>
      <x:c r="F151" s="27" t="str">
        <x:v>GAMMA GIARDINO</x:v>
      </x:c>
      <x:c r="G151" s="27" t="str">
        <x:v>TAGLIASIEPI E CESOIE</x:v>
      </x:c>
      <x:c r="H151" s="28" t="n">
        <x:v>98.3</x:v>
      </x:c>
      <x:c r="I151" s="28" t="n">
        <x:v>119.9</x:v>
      </x:c>
      <x:c r="J151" s="29" t="n">
        <x:v>22</x:v>
      </x:c>
      <x:c r="K151" s="27" t="str"/>
      <x:c r="L151" s="27" t="str"/>
      <x:c r="M151" s="27" t="str"/>
      <x:c r="N151" s="27" t="str">
        <x:v>BLACK+DECKER</x:v>
      </x:c>
      <x:c r="O151" s="27" t="str"/>
      <x:c r="P151" s="27" t="str">
        <x:v>Catalogo Black+Decker Lo Specialista 2026, pagina 112. Prezzi se presenti: raccomandati dal catalogo.</x:v>
      </x:c>
      <x:c r="Q151" s="30" t="str">
        <x:v>2026-06-10</x:v>
      </x:c>
      <x:c r="R151" s="27" t="n">
        <x:v>112</x:v>
      </x:c>
      <x:c r="S151" s="27" t="str">
        <x:v>B+D_CATALOGO Lo Specialista 2026.pdf</x:v>
      </x:c>
    </x:row>
    <x:row r="152">
      <x:c r="A152" s="27" t="str">
        <x:v>BD-0151</x:v>
      </x:c>
      <x:c r="B152" s="27" t="str">
        <x:v>5035048707067</x:v>
      </x:c>
      <x:c r="C152" s="27" t="str">
        <x:v>BEMW351-QS</x:v>
      </x:c>
      <x:c r="D152" s="27" t="str">
        <x:v>Rasaerba a filo 1000W</x:v>
      </x:c>
      <x:c r="E152" s="27" t="str">
        <x:v>BLACK+DECKER</x:v>
      </x:c>
      <x:c r="F152" s="27" t="str">
        <x:v>GAMMA GIARDINO</x:v>
      </x:c>
      <x:c r="G152" s="27" t="str">
        <x:v>RASAERBA</x:v>
      </x:c>
      <x:c r="H152" s="28" t="n">
        <x:v>75</x:v>
      </x:c>
      <x:c r="I152" s="28" t="n">
        <x:v>91.5</x:v>
      </x:c>
      <x:c r="J152" s="29" t="n">
        <x:v>22</x:v>
      </x:c>
      <x:c r="K152" s="27" t="str"/>
      <x:c r="L152" s="27" t="str"/>
      <x:c r="M152" s="27" t="str"/>
      <x:c r="N152" s="27" t="str">
        <x:v>BLACK+DECKER</x:v>
      </x:c>
      <x:c r="O152" s="27" t="str"/>
      <x:c r="P152" s="27" t="str">
        <x:v>Catalogo Black+Decker Lo Specialista 2026, pagina 80. Prezzi se presenti: raccomandati dal catalogo.</x:v>
      </x:c>
      <x:c r="Q152" s="30" t="str">
        <x:v>2026-06-10</x:v>
      </x:c>
      <x:c r="R152" s="27" t="n">
        <x:v>80</x:v>
      </x:c>
      <x:c r="S152" s="27" t="str">
        <x:v>B+D_CATALOGO Lo Specialista 2026.pdf</x:v>
      </x:c>
    </x:row>
    <x:row r="153">
      <x:c r="A153" s="27" t="str">
        <x:v>BD-0152</x:v>
      </x:c>
      <x:c r="B153" s="27" t="str">
        <x:v>5035048682708</x:v>
      </x:c>
      <x:c r="C153" s="27" t="str">
        <x:v>BEMW451BH-QS</x:v>
      </x:c>
      <x:c r="D153" s="27" t="str">
        <x:v>Rasaerba a filo 1200W</x:v>
      </x:c>
      <x:c r="E153" s="27" t="str">
        <x:v>BLACK+DECKER</x:v>
      </x:c>
      <x:c r="F153" s="27" t="str">
        <x:v>GAMMA GIARDINO</x:v>
      </x:c>
      <x:c r="G153" s="27" t="str">
        <x:v>RASAERBA</x:v>
      </x:c>
      <x:c r="H153" s="28" t="n">
        <x:v>82.8</x:v>
      </x:c>
      <x:c r="I153" s="28" t="n">
        <x:v>101</x:v>
      </x:c>
      <x:c r="J153" s="29" t="n">
        <x:v>22</x:v>
      </x:c>
      <x:c r="K153" s="27" t="str"/>
      <x:c r="L153" s="27" t="str"/>
      <x:c r="M153" s="27" t="str"/>
      <x:c r="N153" s="27" t="str">
        <x:v>BLACK+DECKER</x:v>
      </x:c>
      <x:c r="O153" s="27" t="str"/>
      <x:c r="P153" s="27" t="str">
        <x:v>Catalogo Black+Decker Lo Specialista 2026, pagina 80. Prezzi se presenti: raccomandati dal catalogo.</x:v>
      </x:c>
      <x:c r="Q153" s="30" t="str">
        <x:v>2026-06-10</x:v>
      </x:c>
      <x:c r="R153" s="27" t="n">
        <x:v>80</x:v>
      </x:c>
      <x:c r="S153" s="27" t="str">
        <x:v>B+D_CATALOGO Lo Specialista 2026.pdf</x:v>
      </x:c>
    </x:row>
    <x:row r="154">
      <x:c r="A154" s="27" t="str">
        <x:v>BD-0153</x:v>
      </x:c>
      <x:c r="B154" s="27" t="str">
        <x:v>5035048682739</x:v>
      </x:c>
      <x:c r="C154" s="27" t="str">
        <x:v>BEMW461BH-QS</x:v>
      </x:c>
      <x:c r="D154" s="27" t="str">
        <x:v>Rasaerba a filo 1400W</x:v>
      </x:c>
      <x:c r="E154" s="27" t="str">
        <x:v>BLACK+DECKER</x:v>
      </x:c>
      <x:c r="F154" s="27" t="str">
        <x:v>GAMMA GIARDINO</x:v>
      </x:c>
      <x:c r="G154" s="27" t="str">
        <x:v>RASAERBA</x:v>
      </x:c>
      <x:c r="H154" s="28" t="n">
        <x:v>127</x:v>
      </x:c>
      <x:c r="I154" s="28" t="n">
        <x:v>154.9</x:v>
      </x:c>
      <x:c r="J154" s="29" t="n">
        <x:v>22</x:v>
      </x:c>
      <x:c r="K154" s="27" t="str"/>
      <x:c r="L154" s="27" t="str"/>
      <x:c r="M154" s="27" t="str"/>
      <x:c r="N154" s="27" t="str">
        <x:v>BLACK+DECKER</x:v>
      </x:c>
      <x:c r="O154" s="27" t="str"/>
      <x:c r="P154" s="27" t="str">
        <x:v>Catalogo Black+Decker Lo Specialista 2026, pagina 81. Prezzi se presenti: raccomandati dal catalogo.</x:v>
      </x:c>
      <x:c r="Q154" s="30" t="str">
        <x:v>2026-06-10</x:v>
      </x:c>
      <x:c r="R154" s="27" t="n">
        <x:v>81</x:v>
      </x:c>
      <x:c r="S154" s="27" t="str">
        <x:v>B+D_CATALOGO Lo Specialista 2026.pdf</x:v>
      </x:c>
    </x:row>
    <x:row r="155">
      <x:c r="A155" s="27" t="str">
        <x:v>BD-0154</x:v>
      </x:c>
      <x:c r="B155" s="27" t="str">
        <x:v>5035048682807</x:v>
      </x:c>
      <x:c r="C155" s="27" t="str">
        <x:v>BEMW471ES-QS</x:v>
      </x:c>
      <x:c r="D155" s="27" t="str">
        <x:v>Rasaerba a filo 1600W</x:v>
      </x:c>
      <x:c r="E155" s="27" t="str">
        <x:v>BLACK+DECKER</x:v>
      </x:c>
      <x:c r="F155" s="27" t="str">
        <x:v>GAMMA GIARDINO</x:v>
      </x:c>
      <x:c r="G155" s="27" t="str">
        <x:v>RASAERBA</x:v>
      </x:c>
      <x:c r="H155" s="28" t="n">
        <x:v>163.9</x:v>
      </x:c>
      <x:c r="I155" s="28" t="n">
        <x:v>200</x:v>
      </x:c>
      <x:c r="J155" s="29" t="n">
        <x:v>22</x:v>
      </x:c>
      <x:c r="K155" s="27" t="str"/>
      <x:c r="L155" s="27" t="str"/>
      <x:c r="M155" s="27" t="str"/>
      <x:c r="N155" s="27" t="str">
        <x:v>BLACK+DECKER</x:v>
      </x:c>
      <x:c r="O155" s="27" t="str"/>
      <x:c r="P155" s="27" t="str">
        <x:v>Catalogo Black+Decker Lo Specialista 2026, pagina 82. Prezzi se presenti: raccomandati dal catalogo.</x:v>
      </x:c>
      <x:c r="Q155" s="30" t="str">
        <x:v>2026-06-10</x:v>
      </x:c>
      <x:c r="R155" s="27" t="n">
        <x:v>82</x:v>
      </x:c>
      <x:c r="S155" s="27" t="str">
        <x:v>B+D_CATALOGO Lo Specialista 2026.pdf</x:v>
      </x:c>
    </x:row>
    <x:row r="156">
      <x:c r="A156" s="27" t="str">
        <x:v>BD-0155</x:v>
      </x:c>
      <x:c r="B156" s="27" t="str">
        <x:v>5035048682852</x:v>
      </x:c>
      <x:c r="C156" s="27" t="str">
        <x:v>BEMW481ES-QS</x:v>
      </x:c>
      <x:c r="D156" s="27" t="str">
        <x:v>Rasaerba a filo 1800W</x:v>
      </x:c>
      <x:c r="E156" s="27" t="str">
        <x:v>BLACK+DECKER</x:v>
      </x:c>
      <x:c r="F156" s="27" t="str">
        <x:v>GAMMA GIARDINO</x:v>
      </x:c>
      <x:c r="G156" s="27" t="str">
        <x:v>RASAERBA</x:v>
      </x:c>
      <x:c r="H156" s="28" t="n">
        <x:v>196.6</x:v>
      </x:c>
      <x:c r="I156" s="28" t="n">
        <x:v>239.9</x:v>
      </x:c>
      <x:c r="J156" s="29" t="n">
        <x:v>22</x:v>
      </x:c>
      <x:c r="K156" s="27" t="str"/>
      <x:c r="L156" s="27" t="str"/>
      <x:c r="M156" s="27" t="str"/>
      <x:c r="N156" s="27" t="str">
        <x:v>BLACK+DECKER</x:v>
      </x:c>
      <x:c r="O156" s="27" t="str"/>
      <x:c r="P156" s="27" t="str">
        <x:v>Catalogo Black+Decker Lo Specialista 2026, pagina 83. Prezzi se presenti: raccomandati dal catalogo.</x:v>
      </x:c>
      <x:c r="Q156" s="30" t="str">
        <x:v>2026-06-10</x:v>
      </x:c>
      <x:c r="R156" s="27" t="n">
        <x:v>83</x:v>
      </x:c>
      <x:c r="S156" s="27" t="str">
        <x:v>B+D_CATALOGO Lo Specialista 2026.pdf</x:v>
      </x:c>
    </x:row>
    <x:row r="157">
      <x:c r="A157" s="27" t="str">
        <x:v>BD-0156</x:v>
      </x:c>
      <x:c r="B157" s="27" t="str">
        <x:v>5035048706879</x:v>
      </x:c>
      <x:c r="C157" s="27" t="str">
        <x:v>BEMWH551-QS</x:v>
      </x:c>
      <x:c r="D157" s="27" t="str">
        <x:v>Rasaerba a filo 1200W a cuscino d'aria</x:v>
      </x:c>
      <x:c r="E157" s="27" t="str">
        <x:v>BLACK+DECKER</x:v>
      </x:c>
      <x:c r="F157" s="27" t="str">
        <x:v>GAMMA GIARDINO</x:v>
      </x:c>
      <x:c r="G157" s="27" t="str">
        <x:v>RASAERBA</x:v>
      </x:c>
      <x:c r="H157" s="28" t="n">
        <x:v>65.5</x:v>
      </x:c>
      <x:c r="I157" s="28" t="n">
        <x:v>79.9</x:v>
      </x:c>
      <x:c r="J157" s="29" t="n">
        <x:v>22</x:v>
      </x:c>
      <x:c r="K157" s="27" t="str"/>
      <x:c r="L157" s="27" t="str"/>
      <x:c r="M157" s="27" t="str"/>
      <x:c r="N157" s="27" t="str">
        <x:v>BLACK+DECKER</x:v>
      </x:c>
      <x:c r="O157" s="27" t="str"/>
      <x:c r="P157" s="27" t="str">
        <x:v>Catalogo Black+Decker Lo Specialista 2026, pagina 83. Prezzi se presenti: raccomandati dal catalogo.</x:v>
      </x:c>
      <x:c r="Q157" s="30" t="str">
        <x:v>2026-06-10</x:v>
      </x:c>
      <x:c r="R157" s="27" t="n">
        <x:v>83</x:v>
      </x:c>
      <x:c r="S157" s="27" t="str">
        <x:v>B+D_CATALOGO Lo Specialista 2026.pdf</x:v>
      </x:c>
    </x:row>
    <x:row r="158">
      <x:c r="A158" s="27" t="str">
        <x:v>BD-0157</x:v>
      </x:c>
      <x:c r="B158" s="27" t="str">
        <x:v>5035048847657</x:v>
      </x:c>
      <x:c r="C158" s="27" t="str">
        <x:v>BEMWP340-QS</x:v>
      </x:c>
      <x:c r="D158" s="27" t="str">
        <x:v>Rasaerba a filo 1400W</x:v>
      </x:c>
      <x:c r="E158" s="27" t="str">
        <x:v>BLACK+DECKER</x:v>
      </x:c>
      <x:c r="F158" s="27" t="str">
        <x:v>GAMMA GIARDINO</x:v>
      </x:c>
      <x:c r="G158" s="27" t="str">
        <x:v>RASAERBA</x:v>
      </x:c>
      <x:c r="H158" s="28" t="n">
        <x:v>107.9</x:v>
      </x:c>
      <x:c r="I158" s="28" t="n">
        <x:v>131.6</x:v>
      </x:c>
      <x:c r="J158" s="29" t="n">
        <x:v>22</x:v>
      </x:c>
      <x:c r="K158" s="27" t="str"/>
      <x:c r="L158" s="27" t="str"/>
      <x:c r="M158" s="27" t="str"/>
      <x:c r="N158" s="27" t="str">
        <x:v>BLACK+DECKER</x:v>
      </x:c>
      <x:c r="O158" s="27" t="str"/>
      <x:c r="P158" s="27" t="str">
        <x:v>Catalogo Black+Decker Lo Specialista 2026, pagina 81. Prezzi se presenti: raccomandati dal catalogo.</x:v>
      </x:c>
      <x:c r="Q158" s="30" t="str">
        <x:v>2026-06-10</x:v>
      </x:c>
      <x:c r="R158" s="27" t="n">
        <x:v>81</x:v>
      </x:c>
      <x:c r="S158" s="27" t="str">
        <x:v>B+D_CATALOGO Lo Specialista 2026.pdf</x:v>
      </x:c>
    </x:row>
    <x:row r="159">
      <x:c r="A159" s="27" t="str">
        <x:v>BD-0158</x:v>
      </x:c>
      <x:c r="B159" s="27" t="str">
        <x:v>5035048847633</x:v>
      </x:c>
      <x:c r="C159" s="27" t="str">
        <x:v>BEMWP400-QS</x:v>
      </x:c>
      <x:c r="D159" s="27" t="str">
        <x:v>Rasaerba a filo 1800W</x:v>
      </x:c>
      <x:c r="E159" s="27" t="str">
        <x:v>BLACK+DECKER</x:v>
      </x:c>
      <x:c r="F159" s="27" t="str">
        <x:v>GAMMA GIARDINO</x:v>
      </x:c>
      <x:c r="G159" s="27" t="str">
        <x:v>RASAERBA</x:v>
      </x:c>
      <x:c r="H159" s="28" t="n">
        <x:v>136.1</x:v>
      </x:c>
      <x:c r="I159" s="28" t="n">
        <x:v>166</x:v>
      </x:c>
      <x:c r="J159" s="29" t="n">
        <x:v>22</x:v>
      </x:c>
      <x:c r="K159" s="27" t="str"/>
      <x:c r="L159" s="27" t="str"/>
      <x:c r="M159" s="27" t="str"/>
      <x:c r="N159" s="27" t="str">
        <x:v>BLACK+DECKER</x:v>
      </x:c>
      <x:c r="O159" s="27" t="str"/>
      <x:c r="P159" s="27" t="str">
        <x:v>Catalogo Black+Decker Lo Specialista 2026, pagina 82. Prezzi se presenti: raccomandati dal catalogo.</x:v>
      </x:c>
      <x:c r="Q159" s="30" t="str">
        <x:v>2026-06-10</x:v>
      </x:c>
      <x:c r="R159" s="27" t="n">
        <x:v>82</x:v>
      </x:c>
      <x:c r="S159" s="27" t="str">
        <x:v>B+D_CATALOGO Lo Specialista 2026.pdf</x:v>
      </x:c>
    </x:row>
    <x:row r="160">
      <x:c r="A160" s="27" t="str">
        <x:v>BD-0159</x:v>
      </x:c>
      <x:c r="B160" s="27" t="str">
        <x:v>5035048737279</x:v>
      </x:c>
      <x:c r="C160" s="27" t="str">
        <x:v>BES301-QS</x:v>
      </x:c>
      <x:c r="D160" s="27" t="str">
        <x:v>Sega a gattuccio a filo 750W con morsetti blocca ramo</x:v>
      </x:c>
      <x:c r="E160" s="27" t="str">
        <x:v>BLACK+DECKER</x:v>
      </x:c>
      <x:c r="F160" s="27" t="str">
        <x:v>ELETTROUTENSILI</x:v>
      </x:c>
      <x:c r="G160" s="27" t="str">
        <x:v>UTENSILI PER TAGLIARE</x:v>
      </x:c>
      <x:c r="H160" s="28" t="n">
        <x:v>57.3</x:v>
      </x:c>
      <x:c r="I160" s="28" t="n">
        <x:v>69.9</x:v>
      </x:c>
      <x:c r="J160" s="29" t="n">
        <x:v>22</x:v>
      </x:c>
      <x:c r="K160" s="27" t="str"/>
      <x:c r="L160" s="27" t="str"/>
      <x:c r="M160" s="27" t="str"/>
      <x:c r="N160" s="27" t="str">
        <x:v>BLACK+DECKER</x:v>
      </x:c>
      <x:c r="O160" s="27" t="str"/>
      <x:c r="P160" s="27" t="str">
        <x:v>Catalogo Black+Decker Lo Specialista 2026, pagina 33. Prezzi se presenti: raccomandati dal catalogo.</x:v>
      </x:c>
      <x:c r="Q160" s="30" t="str">
        <x:v>2026-06-10</x:v>
      </x:c>
      <x:c r="R160" s="27" t="n">
        <x:v>33</x:v>
      </x:c>
      <x:c r="S160" s="27" t="str">
        <x:v>B+D_CATALOGO Lo Specialista 2026.pdf</x:v>
      </x:c>
    </x:row>
    <x:row r="161">
      <x:c r="A161" s="27" t="str">
        <x:v>BD-0160</x:v>
      </x:c>
      <x:c r="B161" s="27" t="str">
        <x:v>5035048713877</x:v>
      </x:c>
      <x:c r="C161" s="27" t="str">
        <x:v>BES510-QS</x:v>
      </x:c>
      <x:c r="D161" s="27" t="str">
        <x:v>Mini sega circolare a filo 400W</x:v>
      </x:c>
      <x:c r="E161" s="27" t="str">
        <x:v>BLACK+DECKER</x:v>
      </x:c>
      <x:c r="F161" s="27" t="str">
        <x:v>ELETTROUTENSILI</x:v>
      </x:c>
      <x:c r="G161" s="27" t="str">
        <x:v>UTENSILI PER TAGLIARE</x:v>
      </x:c>
      <x:c r="H161" s="28" t="n">
        <x:v>65.5</x:v>
      </x:c>
      <x:c r="I161" s="28" t="n">
        <x:v>79.9</x:v>
      </x:c>
      <x:c r="J161" s="29" t="n">
        <x:v>22</x:v>
      </x:c>
      <x:c r="K161" s="27" t="str"/>
      <x:c r="L161" s="27" t="str"/>
      <x:c r="M161" s="27" t="str"/>
      <x:c r="N161" s="27" t="str">
        <x:v>BLACK+DECKER</x:v>
      </x:c>
      <x:c r="O161" s="27" t="str"/>
      <x:c r="P161" s="27" t="str">
        <x:v>Catalogo Black+Decker Lo Specialista 2026, pagina 35. Prezzi se presenti: raccomandati dal catalogo.</x:v>
      </x:c>
      <x:c r="Q161" s="30" t="str">
        <x:v>2026-06-10</x:v>
      </x:c>
      <x:c r="R161" s="27" t="n">
        <x:v>35</x:v>
      </x:c>
      <x:c r="S161" s="27" t="str">
        <x:v>B+D_CATALOGO Lo Specialista 2026.pdf</x:v>
      </x:c>
    </x:row>
    <x:row r="162">
      <x:c r="A162" s="27" t="str">
        <x:v>BD-0161</x:v>
      </x:c>
      <x:c r="B162" s="27" t="str">
        <x:v>5035048808900</x:v>
      </x:c>
      <x:c r="C162" s="27" t="str">
        <x:v>BES602-QS</x:v>
      </x:c>
      <x:c r="D162" s="27" t="str">
        <x:v>Seghetto alternativo 400W</x:v>
      </x:c>
      <x:c r="E162" s="27" t="str">
        <x:v>BLACK+DECKER</x:v>
      </x:c>
      <x:c r="F162" s="27" t="str">
        <x:v>ELETTROUTENSILI</x:v>
      </x:c>
      <x:c r="G162" s="27" t="str">
        <x:v>UTENSILI PER TAGLIARE</x:v>
      </x:c>
      <x:c r="H162" s="28" t="n">
        <x:v>26.9</x:v>
      </x:c>
      <x:c r="I162" s="28" t="n">
        <x:v>32.8</x:v>
      </x:c>
      <x:c r="J162" s="29" t="n">
        <x:v>22</x:v>
      </x:c>
      <x:c r="K162" s="27" t="str"/>
      <x:c r="L162" s="27" t="str"/>
      <x:c r="M162" s="27" t="str"/>
      <x:c r="N162" s="27" t="str">
        <x:v>BLACK+DECKER</x:v>
      </x:c>
      <x:c r="O162" s="27" t="str"/>
      <x:c r="P162" s="27" t="str">
        <x:v>Catalogo Black+Decker Lo Specialista 2026, pagina 29. Prezzi se presenti: raccomandati dal catalogo.</x:v>
      </x:c>
      <x:c r="Q162" s="30" t="str">
        <x:v>2026-06-10</x:v>
      </x:c>
      <x:c r="R162" s="27" t="n">
        <x:v>29</x:v>
      </x:c>
      <x:c r="S162" s="27" t="str">
        <x:v>B+D_CATALOGO Lo Specialista 2026.pdf</x:v>
      </x:c>
    </x:row>
    <x:row r="163">
      <x:c r="A163" s="27" t="str">
        <x:v>BD-0162</x:v>
      </x:c>
      <x:c r="B163" s="27" t="str">
        <x:v>5035048810927</x:v>
      </x:c>
      <x:c r="C163" s="27" t="str">
        <x:v>BES603-QS</x:v>
      </x:c>
      <x:c r="D163" s="27" t="str">
        <x:v>Seghetto alternativo 400W</x:v>
      </x:c>
      <x:c r="E163" s="27" t="str">
        <x:v>BLACK+DECKER</x:v>
      </x:c>
      <x:c r="F163" s="27" t="str">
        <x:v>ELETTROUTENSILI</x:v>
      </x:c>
      <x:c r="G163" s="27" t="str">
        <x:v>UTENSILI PER TAGLIARE</x:v>
      </x:c>
      <x:c r="H163" s="28" t="n">
        <x:v>29</x:v>
      </x:c>
      <x:c r="I163" s="28" t="n">
        <x:v>35.4</x:v>
      </x:c>
      <x:c r="J163" s="29" t="n">
        <x:v>22</x:v>
      </x:c>
      <x:c r="K163" s="27" t="str"/>
      <x:c r="L163" s="27" t="str"/>
      <x:c r="M163" s="27" t="str"/>
      <x:c r="N163" s="27" t="str">
        <x:v>BLACK+DECKER</x:v>
      </x:c>
      <x:c r="O163" s="27" t="str"/>
      <x:c r="P163" s="27" t="str">
        <x:v>Catalogo Black+Decker Lo Specialista 2026, pagina 29. Prezzi se presenti: raccomandati dal catalogo.</x:v>
      </x:c>
      <x:c r="Q163" s="30" t="str">
        <x:v>2026-06-10</x:v>
      </x:c>
      <x:c r="R163" s="27" t="n">
        <x:v>29</x:v>
      </x:c>
      <x:c r="S163" s="27" t="str">
        <x:v>B+D_CATALOGO Lo Specialista 2026.pdf</x:v>
      </x:c>
    </x:row>
    <x:row r="164">
      <x:c r="A164" s="27" t="str">
        <x:v>BD-0163</x:v>
      </x:c>
      <x:c r="B164" s="27" t="str">
        <x:v>5035048711538</x:v>
      </x:c>
      <x:c r="C164" s="27" t="str">
        <x:v>BES610-QS</x:v>
      </x:c>
      <x:c r="D164" s="27" t="str">
        <x:v>Seghetto alternativo ad azione pendolare 650W</x:v>
      </x:c>
      <x:c r="E164" s="27" t="str">
        <x:v>BLACK+DECKER</x:v>
      </x:c>
      <x:c r="F164" s="27" t="str">
        <x:v>ELETTROUTENSILI</x:v>
      </x:c>
      <x:c r="G164" s="27" t="str">
        <x:v>UTENSILI PER TAGLIARE</x:v>
      </x:c>
      <x:c r="H164" s="28" t="n">
        <x:v>65.5</x:v>
      </x:c>
      <x:c r="I164" s="28" t="n">
        <x:v>79.9</x:v>
      </x:c>
      <x:c r="J164" s="29" t="n">
        <x:v>22</x:v>
      </x:c>
      <x:c r="K164" s="27" t="str"/>
      <x:c r="L164" s="27" t="str"/>
      <x:c r="M164" s="27" t="str"/>
      <x:c r="N164" s="27" t="str">
        <x:v>BLACK+DECKER</x:v>
      </x:c>
      <x:c r="O164" s="27" t="str"/>
      <x:c r="P164" s="27" t="str">
        <x:v>Catalogo Black+Decker Lo Specialista 2026, pagina 31. Prezzi se presenti: raccomandati dal catalogo.</x:v>
      </x:c>
      <x:c r="Q164" s="30" t="str">
        <x:v>2026-06-10</x:v>
      </x:c>
      <x:c r="R164" s="27" t="n">
        <x:v>31</x:v>
      </x:c>
      <x:c r="S164" s="27" t="str">
        <x:v>B+D_CATALOGO Lo Specialista 2026.pdf</x:v>
      </x:c>
    </x:row>
    <x:row r="165">
      <x:c r="A165" s="27" t="str">
        <x:v>BD-0164</x:v>
      </x:c>
      <x:c r="B165" s="27" t="str">
        <x:v>5035048711590</x:v>
      </x:c>
      <x:c r="C165" s="27" t="str">
        <x:v>BES610K-QS</x:v>
      </x:c>
      <x:c r="D165" s="27" t="str">
        <x:v>Seghetto alternativo ad azione pendolare 650W in valigetta</x:v>
      </x:c>
      <x:c r="E165" s="27" t="str">
        <x:v>BLACK+DECKER</x:v>
      </x:c>
      <x:c r="F165" s="27" t="str">
        <x:v>ELETTROUTENSILI</x:v>
      </x:c>
      <x:c r="G165" s="27" t="str">
        <x:v>UTENSILI PER TAGLIARE</x:v>
      </x:c>
      <x:c r="H165" s="28" t="n">
        <x:v>73.7</x:v>
      </x:c>
      <x:c r="I165" s="28" t="n">
        <x:v>89.9</x:v>
      </x:c>
      <x:c r="J165" s="29" t="n">
        <x:v>22</x:v>
      </x:c>
      <x:c r="K165" s="27" t="str"/>
      <x:c r="L165" s="27" t="str"/>
      <x:c r="M165" s="27" t="str"/>
      <x:c r="N165" s="27" t="str">
        <x:v>BLACK+DECKER</x:v>
      </x:c>
      <x:c r="O165" s="27" t="str"/>
      <x:c r="P165" s="27" t="str">
        <x:v>Catalogo Black+Decker Lo Specialista 2026, pagina 31. Prezzi se presenti: raccomandati dal catalogo.</x:v>
      </x:c>
      <x:c r="Q165" s="30" t="str">
        <x:v>2026-06-10</x:v>
      </x:c>
      <x:c r="R165" s="27" t="n">
        <x:v>31</x:v>
      </x:c>
      <x:c r="S165" s="27" t="str">
        <x:v>B+D_CATALOGO Lo Specialista 2026.pdf</x:v>
      </x:c>
    </x:row>
    <x:row r="166">
      <x:c r="A166" s="27" t="str">
        <x:v>BD-0165</x:v>
      </x:c>
      <x:c r="B166" s="27" t="str">
        <x:v>5035048790496</x:v>
      </x:c>
      <x:c r="C166" s="27" t="str">
        <x:v>BES701-QS</x:v>
      </x:c>
      <x:c r="D166" s="27" t="str">
        <x:v>Troncatrice radiale 1500W</x:v>
      </x:c>
      <x:c r="E166" s="27" t="str">
        <x:v>BLACK+DECKER</x:v>
      </x:c>
      <x:c r="F166" s="27" t="str">
        <x:v>ELETTROUTENSILI</x:v>
      </x:c>
      <x:c r="G166" s="27" t="str">
        <x:v>UTENSILI PER TAGLIARE</x:v>
      </x:c>
      <x:c r="H166" s="28" t="n">
        <x:v>163.5</x:v>
      </x:c>
      <x:c r="I166" s="28" t="n">
        <x:v>199.5</x:v>
      </x:c>
      <x:c r="J166" s="29" t="n">
        <x:v>22</x:v>
      </x:c>
      <x:c r="K166" s="27" t="str"/>
      <x:c r="L166" s="27" t="str"/>
      <x:c r="M166" s="27" t="str"/>
      <x:c r="N166" s="27" t="str">
        <x:v>BLACK+DECKER</x:v>
      </x:c>
      <x:c r="O166" s="27" t="str"/>
      <x:c r="P166" s="27" t="str">
        <x:v>Catalogo Black+Decker Lo Specialista 2026, pagina 39. Prezzi se presenti: raccomandati dal catalogo.</x:v>
      </x:c>
      <x:c r="Q166" s="30" t="str">
        <x:v>2026-06-10</x:v>
      </x:c>
      <x:c r="R166" s="27" t="n">
        <x:v>39</x:v>
      </x:c>
      <x:c r="S166" s="27" t="str">
        <x:v>B+D_CATALOGO Lo Specialista 2026.pdf</x:v>
      </x:c>
    </x:row>
    <x:row r="167">
      <x:c r="A167" s="27" t="str">
        <x:v>BD-0166</x:v>
      </x:c>
      <x:c r="B167" s="27" t="str">
        <x:v>5035048796573</x:v>
      </x:c>
      <x:c r="C167" s="27" t="str">
        <x:v>BES702-QS</x:v>
      </x:c>
      <x:c r="D167" s="27" t="str">
        <x:v>Troncatrice radiale 1500W</x:v>
      </x:c>
      <x:c r="E167" s="27" t="str">
        <x:v>BLACK+DECKER</x:v>
      </x:c>
      <x:c r="F167" s="27" t="str">
        <x:v>ELETTROUTENSILI</x:v>
      </x:c>
      <x:c r="G167" s="27" t="str">
        <x:v>UTENSILI PER TAGLIARE</x:v>
      </x:c>
      <x:c r="H167" s="28"/>
      <x:c r="I167" s="28"/>
      <x:c r="J167" s="29" t="n">
        <x:v>22</x:v>
      </x:c>
      <x:c r="K167" s="27" t="str"/>
      <x:c r="L167" s="27" t="str"/>
      <x:c r="M167" s="27" t="str"/>
      <x:c r="N167" s="27" t="str">
        <x:v>BLACK+DECKER</x:v>
      </x:c>
      <x:c r="O167" s="27" t="str"/>
      <x:c r="P167" s="27" t="str">
        <x:v>Catalogo Black+Decker Lo Specialista 2026, pagina 38. Prezzi se presenti: raccomandati dal catalogo.</x:v>
      </x:c>
      <x:c r="Q167" s="30" t="str">
        <x:v>2026-06-10</x:v>
      </x:c>
      <x:c r="R167" s="27" t="n">
        <x:v>38</x:v>
      </x:c>
      <x:c r="S167" s="27" t="str">
        <x:v>B+D_CATALOGO Lo Specialista 2026.pdf</x:v>
      </x:c>
    </x:row>
    <x:row r="168">
      <x:c r="A168" s="27" t="str">
        <x:v>BD-0167</x:v>
      </x:c>
      <x:c r="B168" s="27" t="str">
        <x:v>5035048712399</x:v>
      </x:c>
      <x:c r="C168" s="27" t="str">
        <x:v>BES710-QS</x:v>
      </x:c>
      <x:c r="D168" s="27" t="str">
        <x:v>Troncatrice radiale 2100W</x:v>
      </x:c>
      <x:c r="E168" s="27" t="str">
        <x:v>BLACK+DECKER</x:v>
      </x:c>
      <x:c r="F168" s="27" t="str">
        <x:v>ELETTROUTENSILI</x:v>
      </x:c>
      <x:c r="G168" s="27" t="str">
        <x:v>UTENSILI PER TAGLIARE</x:v>
      </x:c>
      <x:c r="H168" s="28" t="n">
        <x:v>229.5</x:v>
      </x:c>
      <x:c r="I168" s="28" t="n">
        <x:v>280</x:v>
      </x:c>
      <x:c r="J168" s="29" t="n">
        <x:v>22</x:v>
      </x:c>
      <x:c r="K168" s="27" t="str"/>
      <x:c r="L168" s="27" t="str"/>
      <x:c r="M168" s="27" t="str"/>
      <x:c r="N168" s="27" t="str">
        <x:v>BLACK+DECKER</x:v>
      </x:c>
      <x:c r="O168" s="27" t="str"/>
      <x:c r="P168" s="27" t="str">
        <x:v>Catalogo Black+Decker Lo Specialista 2026, pagina 39. Prezzi se presenti: raccomandati dal catalogo.</x:v>
      </x:c>
      <x:c r="Q168" s="30" t="str">
        <x:v>2026-06-10</x:v>
      </x:c>
      <x:c r="R168" s="27" t="n">
        <x:v>39</x:v>
      </x:c>
      <x:c r="S168" s="27" t="str">
        <x:v>B+D_CATALOGO Lo Specialista 2026.pdf</x:v>
      </x:c>
    </x:row>
    <x:row r="169">
      <x:c r="A169" s="27" t="str">
        <x:v>BD-0168</x:v>
      </x:c>
      <x:c r="B169" s="27" t="str">
        <x:v>5035048712412</x:v>
      </x:c>
      <x:c r="C169" s="27" t="str">
        <x:v>BES720-QS</x:v>
      </x:c>
      <x:c r="D169" s="27" t="str">
        <x:v>Sega da banco 1800W</x:v>
      </x:c>
      <x:c r="E169" s="27" t="str">
        <x:v>BLACK+DECKER</x:v>
      </x:c>
      <x:c r="F169" s="27" t="str">
        <x:v>ELETTROUTENSILI</x:v>
      </x:c>
      <x:c r="G169" s="27" t="str">
        <x:v>UTENSILI PER TAGLIARE</x:v>
      </x:c>
      <x:c r="H169" s="28" t="n">
        <x:v>188.5</x:v>
      </x:c>
      <x:c r="I169" s="28" t="n">
        <x:v>230</x:v>
      </x:c>
      <x:c r="J169" s="29" t="n">
        <x:v>22</x:v>
      </x:c>
      <x:c r="K169" s="27" t="str"/>
      <x:c r="L169" s="27" t="str"/>
      <x:c r="M169" s="27" t="str"/>
      <x:c r="N169" s="27" t="str">
        <x:v>BLACK+DECKER</x:v>
      </x:c>
      <x:c r="O169" s="27" t="str"/>
      <x:c r="P169" s="27" t="str">
        <x:v>Catalogo Black+Decker Lo Specialista 2026, pagina 40. Prezzi se presenti: raccomandati dal catalogo.</x:v>
      </x:c>
      <x:c r="Q169" s="30" t="str">
        <x:v>2026-06-10</x:v>
      </x:c>
      <x:c r="R169" s="27" t="n">
        <x:v>40</x:v>
      </x:c>
      <x:c r="S169" s="27" t="str">
        <x:v>B+D_CATALOGO Lo Specialista 2026.pdf</x:v>
      </x:c>
    </x:row>
    <x:row r="170">
      <x:c r="A170" s="27" t="str">
        <x:v>BD-0169</x:v>
      </x:c>
      <x:c r="B170" s="27" t="str">
        <x:v>5035048680940</x:v>
      </x:c>
      <x:c r="C170" s="27" t="str">
        <x:v>BESTA525-QS</x:v>
      </x:c>
      <x:c r="D170" s="27" t="str">
        <x:v>Tagliabordi a filo 450W</x:v>
      </x:c>
      <x:c r="E170" s="27" t="str">
        <x:v>BLACK+DECKER</x:v>
      </x:c>
      <x:c r="F170" s="27" t="str">
        <x:v>GAMMA GIARDINO</x:v>
      </x:c>
      <x:c r="G170" s="27" t="str">
        <x:v>TAGLIABORDI</x:v>
      </x:c>
      <x:c r="H170" s="28"/>
      <x:c r="I170" s="28"/>
      <x:c r="J170" s="29" t="n">
        <x:v>22</x:v>
      </x:c>
      <x:c r="K170" s="27" t="str"/>
      <x:c r="L170" s="27" t="str"/>
      <x:c r="M170" s="27" t="str"/>
      <x:c r="N170" s="27" t="str">
        <x:v>BLACK+DECKER</x:v>
      </x:c>
      <x:c r="O170" s="27" t="str"/>
      <x:c r="P170" s="27" t="str">
        <x:v>Catalogo Black+Decker Lo Specialista 2026, pagina 92. Prezzi se presenti: raccomandati dal catalogo.</x:v>
      </x:c>
      <x:c r="Q170" s="30" t="str">
        <x:v>2026-06-10</x:v>
      </x:c>
      <x:c r="R170" s="27" t="n">
        <x:v>92</x:v>
      </x:c>
      <x:c r="S170" s="27" t="str">
        <x:v>B+D_CATALOGO Lo Specialista 2026.pdf</x:v>
      </x:c>
    </x:row>
    <x:row r="171">
      <x:c r="A171" s="27" t="str">
        <x:v>BD-0170</x:v>
      </x:c>
      <x:c r="B171" s="27" t="str">
        <x:v>5035048681060</x:v>
      </x:c>
      <x:c r="C171" s="27" t="str">
        <x:v>BESTA530-QS</x:v>
      </x:c>
      <x:c r="D171" s="27" t="str">
        <x:v>Tagliabordi a filo 550W</x:v>
      </x:c>
      <x:c r="E171" s="27" t="str">
        <x:v>BLACK+DECKER</x:v>
      </x:c>
      <x:c r="F171" s="27" t="str">
        <x:v>GAMMA GIARDINO</x:v>
      </x:c>
      <x:c r="G171" s="27" t="str">
        <x:v>TAGLIABORDI</x:v>
      </x:c>
      <x:c r="H171" s="28"/>
      <x:c r="I171" s="28"/>
      <x:c r="J171" s="29" t="n">
        <x:v>22</x:v>
      </x:c>
      <x:c r="K171" s="27" t="str"/>
      <x:c r="L171" s="27" t="str"/>
      <x:c r="M171" s="27" t="str"/>
      <x:c r="N171" s="27" t="str">
        <x:v>BLACK+DECKER</x:v>
      </x:c>
      <x:c r="O171" s="27" t="str"/>
      <x:c r="P171" s="27" t="str">
        <x:v>Catalogo Black+Decker Lo Specialista 2026, pagina 92. Prezzi se presenti: raccomandati dal catalogo.</x:v>
      </x:c>
      <x:c r="Q171" s="30" t="str">
        <x:v>2026-06-10</x:v>
      </x:c>
      <x:c r="R171" s="27" t="n">
        <x:v>92</x:v>
      </x:c>
      <x:c r="S171" s="27" t="str">
        <x:v>B+D_CATALOGO Lo Specialista 2026.pdf</x:v>
      </x:c>
    </x:row>
    <x:row r="172">
      <x:c r="A172" s="27" t="str">
        <x:v>BD-0171</x:v>
      </x:c>
      <x:c r="B172" s="27" t="str">
        <x:v>5035048795583</x:v>
      </x:c>
      <x:c r="C172" s="27" t="str">
        <x:v>BETL1820L-QW</x:v>
      </x:c>
      <x:c r="D172" s="27" t="str">
        <x:v>Elettrozappa a batteria 18V</x:v>
      </x:c>
      <x:c r="E172" s="27" t="str">
        <x:v>BLACK+DECKER</x:v>
      </x:c>
      <x:c r="F172" s="27" t="str">
        <x:v>GAMMA GIARDINO</x:v>
      </x:c>
      <x:c r="G172" s="27" t="str">
        <x:v>ALTRI UTENSILI DA GIARDINO</x:v>
      </x:c>
      <x:c r="H172" s="28" t="n">
        <x:v>180.3</x:v>
      </x:c>
      <x:c r="I172" s="28" t="n">
        <x:v>220</x:v>
      </x:c>
      <x:c r="J172" s="29" t="n">
        <x:v>22</x:v>
      </x:c>
      <x:c r="K172" s="27" t="str"/>
      <x:c r="L172" s="27" t="str"/>
      <x:c r="M172" s="27" t="str"/>
      <x:c r="N172" s="27" t="str">
        <x:v>BLACK+DECKER</x:v>
      </x:c>
      <x:c r="O172" s="27" t="str"/>
      <x:c r="P172" s="27" t="str">
        <x:v>Catalogo Black+Decker Lo Specialista 2026, pagina 119. Prezzi se presenti: raccomandati dal catalogo.</x:v>
      </x:c>
      <x:c r="Q172" s="30" t="str">
        <x:v>2026-06-10</x:v>
      </x:c>
      <x:c r="R172" s="27" t="n">
        <x:v>119</x:v>
      </x:c>
      <x:c r="S172" s="27" t="str">
        <x:v>B+D_CATALOGO Lo Specialista 2026.pdf</x:v>
      </x:c>
    </x:row>
    <x:row r="173">
      <x:c r="A173" s="27" t="str">
        <x:v>BD-0172</x:v>
      </x:c>
      <x:c r="B173" s="27" t="str">
        <x:v>5035048795545</x:v>
      </x:c>
      <x:c r="C173" s="27" t="str">
        <x:v>BETL18B-XJ</x:v>
      </x:c>
      <x:c r="D173" s="27" t="str">
        <x:v>Elettrozappa a batteria (solo corpo macchina)</x:v>
      </x:c>
      <x:c r="E173" s="27" t="str">
        <x:v>BLACK+DECKER</x:v>
      </x:c>
      <x:c r="F173" s="27" t="str">
        <x:v>GAMMA GIARDINO</x:v>
      </x:c>
      <x:c r="G173" s="27" t="str">
        <x:v>ALTRI UTENSILI DA GIARDINO</x:v>
      </x:c>
      <x:c r="H173" s="28" t="n">
        <x:v>147.5</x:v>
      </x:c>
      <x:c r="I173" s="28" t="n">
        <x:v>180</x:v>
      </x:c>
      <x:c r="J173" s="29" t="n">
        <x:v>22</x:v>
      </x:c>
      <x:c r="K173" s="27" t="str"/>
      <x:c r="L173" s="27" t="str"/>
      <x:c r="M173" s="27" t="str"/>
      <x:c r="N173" s="27" t="str">
        <x:v>BLACK+DECKER</x:v>
      </x:c>
      <x:c r="O173" s="27" t="str"/>
      <x:c r="P173" s="27" t="str">
        <x:v>Catalogo Black+Decker Lo Specialista 2026, pagina 119. Prezzi se presenti: raccomandati dal catalogo.</x:v>
      </x:c>
      <x:c r="Q173" s="30" t="str">
        <x:v>2026-06-10</x:v>
      </x:c>
      <x:c r="R173" s="27" t="n">
        <x:v>119</x:v>
      </x:c>
      <x:c r="S173" s="27" t="str">
        <x:v>B+D_CATALOGO Lo Specialista 2026.pdf</x:v>
      </x:c>
    </x:row>
    <x:row r="174">
      <x:c r="A174" s="27" t="str">
        <x:v>BD-0173</x:v>
      </x:c>
      <x:c r="B174" s="27" t="str">
        <x:v>5035048704165</x:v>
      </x:c>
      <x:c r="C174" s="27" t="str">
        <x:v>BEW200-QS</x:v>
      </x:c>
      <x:c r="D174" s="27" t="str">
        <x:v>Multilevigatrice 4-in-1</x:v>
      </x:c>
      <x:c r="E174" s="27" t="str">
        <x:v>BLACK+DECKER</x:v>
      </x:c>
      <x:c r="F174" s="27" t="str">
        <x:v>ELETTROUTENSILI</x:v>
      </x:c>
      <x:c r="G174" s="27" t="str">
        <x:v>LEVIGATRICI</x:v>
      </x:c>
      <x:c r="H174" s="28" t="n">
        <x:v>49.1</x:v>
      </x:c>
      <x:c r="I174" s="28" t="n">
        <x:v>59.9</x:v>
      </x:c>
      <x:c r="J174" s="29" t="n">
        <x:v>22</x:v>
      </x:c>
      <x:c r="K174" s="27" t="str"/>
      <x:c r="L174" s="27" t="str"/>
      <x:c r="M174" s="27" t="str"/>
      <x:c r="N174" s="27" t="str">
        <x:v>BLACK+DECKER</x:v>
      </x:c>
      <x:c r="O174" s="27" t="str"/>
      <x:c r="P174" s="27" t="str">
        <x:v>Catalogo Black+Decker Lo Specialista 2026, pagina 43. Prezzi se presenti: raccomandati dal catalogo.</x:v>
      </x:c>
      <x:c r="Q174" s="30" t="str">
        <x:v>2026-06-10</x:v>
      </x:c>
      <x:c r="R174" s="27" t="n">
        <x:v>43</x:v>
      </x:c>
      <x:c r="S174" s="27" t="str">
        <x:v>B+D_CATALOGO Lo Specialista 2026.pdf</x:v>
      </x:c>
    </x:row>
    <x:row r="175">
      <x:c r="A175" s="27" t="str">
        <x:v>BD-0174</x:v>
      </x:c>
      <x:c r="B175" s="27" t="str">
        <x:v>5035048704233</x:v>
      </x:c>
      <x:c r="C175" s="27" t="str">
        <x:v>BEW210-QS</x:v>
      </x:c>
      <x:c r="D175" s="27" t="str">
        <x:v>Levigatrice rotorbitale a filo 230W</x:v>
      </x:c>
      <x:c r="E175" s="27" t="str">
        <x:v>BLACK+DECKER</x:v>
      </x:c>
      <x:c r="F175" s="27" t="str">
        <x:v>ELETTROUTENSILI</x:v>
      </x:c>
      <x:c r="G175" s="27" t="str">
        <x:v>LEVIGATRICI</x:v>
      </x:c>
      <x:c r="H175" s="28" t="n">
        <x:v>32.8</x:v>
      </x:c>
      <x:c r="I175" s="28" t="n">
        <x:v>40</x:v>
      </x:c>
      <x:c r="J175" s="29" t="n">
        <x:v>22</x:v>
      </x:c>
      <x:c r="K175" s="27" t="str"/>
      <x:c r="L175" s="27" t="str"/>
      <x:c r="M175" s="27" t="str"/>
      <x:c r="N175" s="27" t="str">
        <x:v>BLACK+DECKER</x:v>
      </x:c>
      <x:c r="O175" s="27" t="str"/>
      <x:c r="P175" s="27" t="str">
        <x:v>Catalogo Black+Decker Lo Specialista 2026, pagina 45. Prezzi se presenti: raccomandati dal catalogo.</x:v>
      </x:c>
      <x:c r="Q175" s="30" t="str">
        <x:v>2026-06-10</x:v>
      </x:c>
      <x:c r="R175" s="27" t="n">
        <x:v>45</x:v>
      </x:c>
      <x:c r="S175" s="27" t="str">
        <x:v>B+D_CATALOGO Lo Specialista 2026.pdf</x:v>
      </x:c>
    </x:row>
    <x:row r="176">
      <x:c r="A176" s="27" t="str">
        <x:v>BD-0175</x:v>
      </x:c>
      <x:c r="B176" s="27" t="str">
        <x:v>5035048704264</x:v>
      </x:c>
      <x:c r="C176" s="27" t="str">
        <x:v>BEW220-QS</x:v>
      </x:c>
      <x:c r="D176" s="27" t="str">
        <x:v>Levigatrice orbitale a filo 150W da 1/3 di foglio</x:v>
      </x:c>
      <x:c r="E176" s="27" t="str">
        <x:v>BLACK+DECKER</x:v>
      </x:c>
      <x:c r="F176" s="27" t="str">
        <x:v>ELETTROUTENSILI</x:v>
      </x:c>
      <x:c r="G176" s="27" t="str">
        <x:v>LEVIGATRICI</x:v>
      </x:c>
      <x:c r="H176" s="28" t="n">
        <x:v>28.7</x:v>
      </x:c>
      <x:c r="I176" s="28" t="n">
        <x:v>35</x:v>
      </x:c>
      <x:c r="J176" s="29" t="n">
        <x:v>22</x:v>
      </x:c>
      <x:c r="K176" s="27" t="str"/>
      <x:c r="L176" s="27" t="str"/>
      <x:c r="M176" s="27" t="str"/>
      <x:c r="N176" s="27" t="str">
        <x:v>BLACK+DECKER</x:v>
      </x:c>
      <x:c r="O176" s="27" t="str"/>
      <x:c r="P176" s="27" t="str">
        <x:v>Catalogo Black+Decker Lo Specialista 2026, pagina 44. Prezzi se presenti: raccomandati dal catalogo.</x:v>
      </x:c>
      <x:c r="Q176" s="30" t="str">
        <x:v>2026-06-10</x:v>
      </x:c>
      <x:c r="R176" s="27" t="n">
        <x:v>44</x:v>
      </x:c>
      <x:c r="S176" s="27" t="str">
        <x:v>B+D_CATALOGO Lo Specialista 2026.pdf</x:v>
      </x:c>
    </x:row>
    <x:row r="177">
      <x:c r="A177" s="27" t="str">
        <x:v>BD-0176</x:v>
      </x:c>
      <x:c r="B177" s="27" t="str">
        <x:v>5035048709375</x:v>
      </x:c>
      <x:c r="C177" s="27" t="str">
        <x:v>BEW230BC-QS</x:v>
      </x:c>
      <x:c r="D177" s="27" t="str">
        <x:v>Levigatrice Mouse® 55W</x:v>
      </x:c>
      <x:c r="E177" s="27" t="str">
        <x:v>BLACK+DECKER</x:v>
      </x:c>
      <x:c r="F177" s="27" t="str">
        <x:v>ELETTROUTENSILI</x:v>
      </x:c>
      <x:c r="G177" s="27" t="str">
        <x:v>LEVIGATRICI</x:v>
      </x:c>
      <x:c r="H177" s="28" t="n">
        <x:v>26.5</x:v>
      </x:c>
      <x:c r="I177" s="28" t="n">
        <x:v>32.3</x:v>
      </x:c>
      <x:c r="J177" s="29" t="n">
        <x:v>22</x:v>
      </x:c>
      <x:c r="K177" s="27" t="str"/>
      <x:c r="L177" s="27" t="str"/>
      <x:c r="M177" s="27" t="str"/>
      <x:c r="N177" s="27" t="str">
        <x:v>BLACK+DECKER</x:v>
      </x:c>
      <x:c r="O177" s="27" t="str"/>
      <x:c r="P177" s="27" t="str">
        <x:v>Catalogo Black+Decker Lo Specialista 2026, pagina 42. Prezzi se presenti: raccomandati dal catalogo.</x:v>
      </x:c>
      <x:c r="Q177" s="30" t="str">
        <x:v>2026-06-10</x:v>
      </x:c>
      <x:c r="R177" s="27" t="n">
        <x:v>42</x:v>
      </x:c>
      <x:c r="S177" s="27" t="str">
        <x:v>B+D_CATALOGO Lo Specialista 2026.pdf</x:v>
      </x:c>
    </x:row>
    <x:row r="178">
      <x:c r="A178" s="27" t="str">
        <x:v>BD-0177</x:v>
      </x:c>
      <x:c r="B178" s="27" t="str">
        <x:v>5035048810958</x:v>
      </x:c>
      <x:c r="C178" s="27" t="str">
        <x:v>BEW712-QS</x:v>
      </x:c>
      <x:c r="D178" s="27" t="str">
        <x:v>Pialletto a filo 710W</x:v>
      </x:c>
      <x:c r="E178" s="27" t="str">
        <x:v>BLACK+DECKER</x:v>
      </x:c>
      <x:c r="F178" s="27" t="str">
        <x:v>ELETTROUTENSILI</x:v>
      </x:c>
      <x:c r="G178" s="27" t="str">
        <x:v>PIALLETTI, ELETTROFRESATRICI ED ALTRI UTENSILI</x:v>
      </x:c>
      <x:c r="H178" s="28" t="n">
        <x:v>57.3</x:v>
      </x:c>
      <x:c r="I178" s="28" t="n">
        <x:v>69.9</x:v>
      </x:c>
      <x:c r="J178" s="29" t="n">
        <x:v>22</x:v>
      </x:c>
      <x:c r="K178" s="27" t="str"/>
      <x:c r="L178" s="27" t="str"/>
      <x:c r="M178" s="27" t="str"/>
      <x:c r="N178" s="27" t="str">
        <x:v>BLACK+DECKER</x:v>
      </x:c>
      <x:c r="O178" s="27" t="str"/>
      <x:c r="P178" s="27" t="str">
        <x:v>Catalogo Black+Decker Lo Specialista 2026, pagina 56. Prezzi se presenti: raccomandati dal catalogo.</x:v>
      </x:c>
      <x:c r="Q178" s="30" t="str">
        <x:v>2026-06-10</x:v>
      </x:c>
      <x:c r="R178" s="27" t="n">
        <x:v>56</x:v>
      </x:c>
      <x:c r="S178" s="27" t="str">
        <x:v>B+D_CATALOGO Lo Specialista 2026.pdf</x:v>
      </x:c>
    </x:row>
    <x:row r="179">
      <x:c r="A179" s="27" t="str">
        <x:v>BD-0178</x:v>
      </x:c>
      <x:c r="B179" s="27" t="str">
        <x:v>5035048726044</x:v>
      </x:c>
      <x:c r="C179" s="27" t="str">
        <x:v>BEZ100-XJ</x:v>
      </x:c>
      <x:c r="D179" s="27" t="str">
        <x:v>Cavalletto per troncatrice</x:v>
      </x:c>
      <x:c r="E179" s="27" t="str">
        <x:v>BLACK+DECKER</x:v>
      </x:c>
      <x:c r="F179" s="27" t="str">
        <x:v>ELETTROUTENSILI</x:v>
      </x:c>
      <x:c r="G179" s="27" t="str">
        <x:v>UTENSILI PER TAGLIARE</x:v>
      </x:c>
      <x:c r="H179" s="28"/>
      <x:c r="I179" s="28"/>
      <x:c r="J179" s="29" t="n">
        <x:v>22</x:v>
      </x:c>
      <x:c r="K179" s="27" t="str"/>
      <x:c r="L179" s="27" t="str"/>
      <x:c r="M179" s="27" t="str"/>
      <x:c r="N179" s="27" t="str">
        <x:v>BLACK+DECKER</x:v>
      </x:c>
      <x:c r="O179" s="27" t="str"/>
      <x:c r="P179" s="27" t="str">
        <x:v>Catalogo Black+Decker Lo Specialista 2026, pagina 40. Prezzi se presenti: raccomandati dal catalogo.</x:v>
      </x:c>
      <x:c r="Q179" s="30" t="str">
        <x:v>2026-06-10</x:v>
      </x:c>
      <x:c r="R179" s="27" t="n">
        <x:v>40</x:v>
      </x:c>
      <x:c r="S179" s="27" t="str">
        <x:v>B+D_CATALOGO Lo Specialista 2026.pdf</x:v>
      </x:c>
    </x:row>
    <x:row r="180">
      <x:c r="A180" s="27" t="str">
        <x:v>BD-0179</x:v>
      </x:c>
      <x:c r="B180" s="27" t="str">
        <x:v>5035048790243</x:v>
      </x:c>
      <x:c r="C180" s="27" t="str">
        <x:v>BHSM15FX08-QS</x:v>
      </x:c>
      <x:c r="D180" s="27" t="str">
        <x:v>Lavapavimenti a vapore SteamSystem 8in1</x:v>
      </x:c>
      <x:c r="E180" s="27" t="str">
        <x:v>BLACK+DECKER</x:v>
      </x:c>
      <x:c r="F180" s="27" t="str">
        <x:v>CURA DELLA CASA</x:v>
      </x:c>
      <x:c r="G180" s="27" t="str">
        <x:v>CURA DELLA CASA</x:v>
      </x:c>
      <x:c r="H180" s="28" t="n">
        <x:v>90.1</x:v>
      </x:c>
      <x:c r="I180" s="28" t="n">
        <x:v>109.9</x:v>
      </x:c>
      <x:c r="J180" s="29" t="n">
        <x:v>22</x:v>
      </x:c>
      <x:c r="K180" s="27" t="str"/>
      <x:c r="L180" s="27" t="str"/>
      <x:c r="M180" s="27" t="str"/>
      <x:c r="N180" s="27" t="str">
        <x:v>BLACK+DECKER</x:v>
      </x:c>
      <x:c r="O180" s="27" t="str"/>
      <x:c r="P180" s="27" t="str">
        <x:v>Catalogo Black+Decker Lo Specialista 2026, pagina 124. Prezzi se presenti: raccomandati dal catalogo.</x:v>
      </x:c>
      <x:c r="Q180" s="30" t="str">
        <x:v>2026-06-10</x:v>
      </x:c>
      <x:c r="R180" s="27" t="n">
        <x:v>124</x:v>
      </x:c>
      <x:c r="S180" s="27" t="str">
        <x:v>B+D_CATALOGO Lo Specialista 2026.pdf</x:v>
      </x:c>
    </x:row>
    <x:row r="181">
      <x:c r="A181" s="27" t="str">
        <x:v>BD-0180</x:v>
      </x:c>
      <x:c r="B181" s="27" t="str">
        <x:v>5035048447178</x:v>
      </x:c>
      <x:c r="C181" s="27" t="str">
        <x:v>BL2018-XJ</x:v>
      </x:c>
      <x:c r="D181" s="27" t="str">
        <x:v>Batteria al Litio 18V - 2.0Ah</x:v>
      </x:c>
      <x:c r="E181" s="27" t="str">
        <x:v>BLACK+DECKER</x:v>
      </x:c>
      <x:c r="F181" s="27" t="str">
        <x:v>BATTERIE E CARICABATTERIE</x:v>
      </x:c>
      <x:c r="G181" s="27" t="str">
        <x:v>BATTERIE E CARICABATTERIE</x:v>
      </x:c>
      <x:c r="H181" s="28" t="n">
        <x:v>24.5</x:v>
      </x:c>
      <x:c r="I181" s="28" t="n">
        <x:v>29.9</x:v>
      </x:c>
      <x:c r="J181" s="29" t="n">
        <x:v>22</x:v>
      </x:c>
      <x:c r="K181" s="27" t="str"/>
      <x:c r="L181" s="27" t="str"/>
      <x:c r="M181" s="27" t="str"/>
      <x:c r="N181" s="27" t="str">
        <x:v>BLACK+DECKER</x:v>
      </x:c>
      <x:c r="O181" s="27" t="str"/>
      <x:c r="P181" s="27" t="str">
        <x:v>Catalogo Black+Decker Lo Specialista 2026, pagina 126. Prezzi se presenti: raccomandati dal catalogo.</x:v>
      </x:c>
      <x:c r="Q181" s="30" t="str">
        <x:v>2026-06-10</x:v>
      </x:c>
      <x:c r="R181" s="27" t="n">
        <x:v>126</x:v>
      </x:c>
      <x:c r="S181" s="27" t="str">
        <x:v>B+D_CATALOGO Lo Specialista 2026.pdf</x:v>
      </x:c>
    </x:row>
    <x:row r="182">
      <x:c r="A182" s="27" t="str">
        <x:v>BD-0181</x:v>
      </x:c>
      <x:c r="B182" s="27" t="str">
        <x:v>5035048636954</x:v>
      </x:c>
      <x:c r="C182" s="27" t="str">
        <x:v>BL20362-XJ</x:v>
      </x:c>
      <x:c r="D182" s="27" t="str">
        <x:v>Batteria al Litio 36V - 2.0Ah</x:v>
      </x:c>
      <x:c r="E182" s="27" t="str">
        <x:v>BLACK+DECKER</x:v>
      </x:c>
      <x:c r="F182" s="27" t="str">
        <x:v>BATTERIE E CARICABATTERIE</x:v>
      </x:c>
      <x:c r="G182" s="27" t="str">
        <x:v>BATTERIE E CARICABATTERIE</x:v>
      </x:c>
      <x:c r="H182" s="28" t="n">
        <x:v>81.9</x:v>
      </x:c>
      <x:c r="I182" s="28" t="n">
        <x:v>99.9</x:v>
      </x:c>
      <x:c r="J182" s="29" t="n">
        <x:v>22</x:v>
      </x:c>
      <x:c r="K182" s="27" t="str"/>
      <x:c r="L182" s="27" t="str"/>
      <x:c r="M182" s="27" t="str"/>
      <x:c r="N182" s="27" t="str">
        <x:v>BLACK+DECKER</x:v>
      </x:c>
      <x:c r="O182" s="27" t="str"/>
      <x:c r="P182" s="27" t="str">
        <x:v>Catalogo Black+Decker Lo Specialista 2026, pagina 127. Prezzi se presenti: raccomandati dal catalogo.</x:v>
      </x:c>
      <x:c r="Q182" s="30" t="str">
        <x:v>2026-06-10</x:v>
      </x:c>
      <x:c r="R182" s="27" t="n">
        <x:v>127</x:v>
      </x:c>
      <x:c r="S182" s="27" t="str">
        <x:v>B+D_CATALOGO Lo Specialista 2026.pdf</x:v>
      </x:c>
    </x:row>
    <x:row r="183">
      <x:c r="A183" s="27" t="str">
        <x:v>BD-0182</x:v>
      </x:c>
      <x:c r="B183" s="27" t="str">
        <x:v>5035048658420</x:v>
      </x:c>
      <x:c r="C183" s="27" t="str">
        <x:v>BL2518-XJ</x:v>
      </x:c>
      <x:c r="D183" s="27" t="str">
        <x:v>Batteria al Litio 18V - 2.5Ah</x:v>
      </x:c>
      <x:c r="E183" s="27" t="str">
        <x:v>BLACK+DECKER</x:v>
      </x:c>
      <x:c r="F183" s="27" t="str">
        <x:v>BATTERIE E CARICABATTERIE</x:v>
      </x:c>
      <x:c r="G183" s="27" t="str">
        <x:v>BATTERIE E CARICABATTERIE</x:v>
      </x:c>
      <x:c r="H183" s="28" t="n">
        <x:v>28.5</x:v>
      </x:c>
      <x:c r="I183" s="28" t="n">
        <x:v>34.8</x:v>
      </x:c>
      <x:c r="J183" s="29" t="n">
        <x:v>22</x:v>
      </x:c>
      <x:c r="K183" s="27" t="str"/>
      <x:c r="L183" s="27" t="str"/>
      <x:c r="M183" s="27" t="str"/>
      <x:c r="N183" s="27" t="str">
        <x:v>BLACK+DECKER</x:v>
      </x:c>
      <x:c r="O183" s="27" t="str"/>
      <x:c r="P183" s="27" t="str">
        <x:v>Catalogo Black+Decker Lo Specialista 2026, pagina 126. Prezzi se presenti: raccomandati dal catalogo.</x:v>
      </x:c>
      <x:c r="Q183" s="30" t="str">
        <x:v>2026-06-10</x:v>
      </x:c>
      <x:c r="R183" s="27" t="n">
        <x:v>126</x:v>
      </x:c>
      <x:c r="S183" s="27" t="str">
        <x:v>B+D_CATALOGO Lo Specialista 2026.pdf</x:v>
      </x:c>
    </x:row>
    <x:row r="184">
      <x:c r="A184" s="27" t="str">
        <x:v>BD-0183</x:v>
      </x:c>
      <x:c r="B184" s="27" t="str">
        <x:v>5035048713044</x:v>
      </x:c>
      <x:c r="C184" s="27" t="str">
        <x:v>BL2536-XJ</x:v>
      </x:c>
      <x:c r="D184" s="27" t="str">
        <x:v>Batteria al litio 36V 2.5 Ah</x:v>
      </x:c>
      <x:c r="E184" s="27" t="str">
        <x:v>BLACK+DECKER</x:v>
      </x:c>
      <x:c r="F184" s="27" t="str">
        <x:v>BATTERIE E CARICABATTERIE</x:v>
      </x:c>
      <x:c r="G184" s="27" t="str">
        <x:v>BATTERIE E CARICABATTERIE</x:v>
      </x:c>
      <x:c r="H184" s="28" t="n">
        <x:v>90.1</x:v>
      </x:c>
      <x:c r="I184" s="28" t="n">
        <x:v>109.9</x:v>
      </x:c>
      <x:c r="J184" s="29" t="n">
        <x:v>22</x:v>
      </x:c>
      <x:c r="K184" s="27" t="str"/>
      <x:c r="L184" s="27" t="str"/>
      <x:c r="M184" s="27" t="str"/>
      <x:c r="N184" s="27" t="str">
        <x:v>BLACK+DECKER</x:v>
      </x:c>
      <x:c r="O184" s="27" t="str"/>
      <x:c r="P184" s="27" t="str">
        <x:v>Catalogo Black+Decker Lo Specialista 2026, pagina 127. Prezzi se presenti: raccomandati dal catalogo.</x:v>
      </x:c>
      <x:c r="Q184" s="30" t="str">
        <x:v>2026-06-10</x:v>
      </x:c>
      <x:c r="R184" s="27" t="n">
        <x:v>127</x:v>
      </x:c>
      <x:c r="S184" s="27" t="str">
        <x:v>B+D_CATALOGO Lo Specialista 2026.pdf</x:v>
      </x:c>
    </x:row>
    <x:row r="185">
      <x:c r="A185" s="27" t="str">
        <x:v>BD-0184</x:v>
      </x:c>
      <x:c r="B185" s="27" t="str">
        <x:v>5035048560044</x:v>
      </x:c>
      <x:c r="C185" s="27" t="str">
        <x:v>BL4018-XJ</x:v>
      </x:c>
      <x:c r="D185" s="27" t="str">
        <x:v>Batteria al Litio 18V - 4.0Ah</x:v>
      </x:c>
      <x:c r="E185" s="27" t="str">
        <x:v>BLACK+DECKER</x:v>
      </x:c>
      <x:c r="F185" s="27" t="str">
        <x:v>BATTERIE E CARICABATTERIE</x:v>
      </x:c>
      <x:c r="G185" s="27" t="str">
        <x:v>BATTERIE E CARICABATTERIE</x:v>
      </x:c>
      <x:c r="H185" s="28" t="n">
        <x:v>40.9</x:v>
      </x:c>
      <x:c r="I185" s="28" t="n">
        <x:v>49.9</x:v>
      </x:c>
      <x:c r="J185" s="29" t="n">
        <x:v>22</x:v>
      </x:c>
      <x:c r="K185" s="27" t="str"/>
      <x:c r="L185" s="27" t="str"/>
      <x:c r="M185" s="27" t="str"/>
      <x:c r="N185" s="27" t="str">
        <x:v>BLACK+DECKER</x:v>
      </x:c>
      <x:c r="O185" s="27" t="str"/>
      <x:c r="P185" s="27" t="str">
        <x:v>Catalogo Black+Decker Lo Specialista 2026, pagina 126. Prezzi se presenti: raccomandati dal catalogo.</x:v>
      </x:c>
      <x:c r="Q185" s="30" t="str">
        <x:v>2026-06-10</x:v>
      </x:c>
      <x:c r="R185" s="27" t="n">
        <x:v>126</x:v>
      </x:c>
      <x:c r="S185" s="27" t="str">
        <x:v>B+D_CATALOGO Lo Specialista 2026.pdf</x:v>
      </x:c>
    </x:row>
    <x:row r="186">
      <x:c r="A186" s="27" t="str">
        <x:v>BD-0185</x:v>
      </x:c>
      <x:c r="B186" s="27" t="str">
        <x:v>5054905337124</x:v>
      </x:c>
      <x:c r="C186" s="27" t="str">
        <x:v>BLCCS78E1-QW</x:v>
      </x:c>
      <x:c r="D186" s="27" t="str">
        <x:v>Sega circolare brushless 18V 2.5Ah</x:v>
      </x:c>
      <x:c r="E186" s="27" t="str">
        <x:v>BLACK+DECKER</x:v>
      </x:c>
      <x:c r="F186" s="27" t="str">
        <x:v>ELETTROUTENSILI</x:v>
      </x:c>
      <x:c r="G186" s="27" t="str">
        <x:v>UTENSILI PER TAGLIARE</x:v>
      </x:c>
      <x:c r="H186" s="28" t="n">
        <x:v>98.5</x:v>
      </x:c>
      <x:c r="I186" s="28" t="n">
        <x:v>120.2</x:v>
      </x:c>
      <x:c r="J186" s="29" t="n">
        <x:v>22</x:v>
      </x:c>
      <x:c r="K186" s="27" t="str"/>
      <x:c r="L186" s="27" t="str"/>
      <x:c r="M186" s="27" t="str"/>
      <x:c r="N186" s="27" t="str">
        <x:v>BLACK+DECKER</x:v>
      </x:c>
      <x:c r="O186" s="27" t="str"/>
      <x:c r="P186" s="27" t="str">
        <x:v>Catalogo Black+Decker Lo Specialista 2026, pagina 38. Prezzi se presenti: raccomandati dal catalogo.</x:v>
      </x:c>
      <x:c r="Q186" s="30" t="str">
        <x:v>2026-06-10</x:v>
      </x:c>
      <x:c r="R186" s="27" t="n">
        <x:v>38</x:v>
      </x:c>
      <x:c r="S186" s="27" t="str">
        <x:v>B+D_CATALOGO Lo Specialista 2026.pdf</x:v>
      </x:c>
    </x:row>
    <x:row r="187">
      <x:c r="A187" s="27" t="str">
        <x:v>BD-0186</x:v>
      </x:c>
      <x:c r="B187" s="27" t="str">
        <x:v>5054905337155</x:v>
      </x:c>
      <x:c r="C187" s="27" t="str">
        <x:v>BLCCS78M1-QW</x:v>
      </x:c>
      <x:c r="D187" s="27" t="str">
        <x:v>Sega circolare brushless 18V 4.0Ah</x:v>
      </x:c>
      <x:c r="E187" s="27" t="str">
        <x:v>BLACK+DECKER</x:v>
      </x:c>
      <x:c r="F187" s="27" t="str">
        <x:v>ELETTROUTENSILI</x:v>
      </x:c>
      <x:c r="G187" s="27" t="str">
        <x:v>UTENSILI PER TAGLIARE</x:v>
      </x:c>
      <x:c r="H187" s="28"/>
      <x:c r="I187" s="28"/>
      <x:c r="J187" s="29" t="n">
        <x:v>22</x:v>
      </x:c>
      <x:c r="K187" s="27" t="str"/>
      <x:c r="L187" s="27" t="str"/>
      <x:c r="M187" s="27" t="str"/>
      <x:c r="N187" s="27" t="str">
        <x:v>BLACK+DECKER</x:v>
      </x:c>
      <x:c r="O187" s="27" t="str"/>
      <x:c r="P187" s="27" t="str">
        <x:v>Catalogo Black+Decker Lo Specialista 2026, pagina 38. Prezzi se presenti: raccomandati dal catalogo.</x:v>
      </x:c>
      <x:c r="Q187" s="30" t="str">
        <x:v>2026-06-10</x:v>
      </x:c>
      <x:c r="R187" s="27" t="n">
        <x:v>38</x:v>
      </x:c>
      <x:c r="S187" s="27" t="str">
        <x:v>B+D_CATALOGO Lo Specialista 2026.pdf</x:v>
      </x:c>
    </x:row>
    <x:row r="188">
      <x:c r="A188" s="27" t="str">
        <x:v>BD-0187</x:v>
      </x:c>
      <x:c r="B188" s="27" t="str">
        <x:v>5054905337186</x:v>
      </x:c>
      <x:c r="C188" s="27" t="str">
        <x:v>BLCCS78N-XJ</x:v>
      </x:c>
      <x:c r="D188" s="27" t="str">
        <x:v>Sega circolare brushless (solo corpo macchina)</x:v>
      </x:c>
      <x:c r="E188" s="27" t="str">
        <x:v>BLACK+DECKER</x:v>
      </x:c>
      <x:c r="F188" s="27" t="str">
        <x:v>ELETTROUTENSILI</x:v>
      </x:c>
      <x:c r="G188" s="27" t="str">
        <x:v>UTENSILI PER TAGLIARE</x:v>
      </x:c>
      <x:c r="H188" s="28" t="n">
        <x:v>123.1</x:v>
      </x:c>
      <x:c r="I188" s="28" t="n">
        <x:v>150.2</x:v>
      </x:c>
      <x:c r="J188" s="29" t="n">
        <x:v>22</x:v>
      </x:c>
      <x:c r="K188" s="27" t="str"/>
      <x:c r="L188" s="27" t="str"/>
      <x:c r="M188" s="27" t="str"/>
      <x:c r="N188" s="27" t="str">
        <x:v>BLACK+DECKER</x:v>
      </x:c>
      <x:c r="O188" s="27" t="str"/>
      <x:c r="P188" s="27" t="str">
        <x:v>Catalogo Black+Decker Lo Specialista 2026, pagina 38. Prezzi se presenti: raccomandati dal catalogo.</x:v>
      </x:c>
      <x:c r="Q188" s="30" t="str">
        <x:v>2026-06-10</x:v>
      </x:c>
      <x:c r="R188" s="27" t="n">
        <x:v>38</x:v>
      </x:c>
      <x:c r="S188" s="27" t="str">
        <x:v>B+D_CATALOGO Lo Specialista 2026.pdf</x:v>
      </x:c>
    </x:row>
    <x:row r="189">
      <x:c r="A189" s="27" t="str">
        <x:v>BD-0188</x:v>
      </x:c>
      <x:c r="B189" s="27" t="str">
        <x:v>5054905337025</x:v>
      </x:c>
      <x:c r="C189" s="27" t="str">
        <x:v>BLCR78E1-QW</x:v>
      </x:c>
      <x:c r="D189" s="27" t="str">
        <x:v>Sega universale brushless 18V 2.5Ah</x:v>
      </x:c>
      <x:c r="E189" s="27" t="str">
        <x:v>BLACK+DECKER</x:v>
      </x:c>
      <x:c r="F189" s="27" t="str">
        <x:v>ELETTROUTENSILI</x:v>
      </x:c>
      <x:c r="G189" s="27" t="str">
        <x:v>UTENSILI PER TAGLIARE</x:v>
      </x:c>
      <x:c r="H189" s="28" t="n">
        <x:v>92.5</x:v>
      </x:c>
      <x:c r="I189" s="28" t="n">
        <x:v>112.9</x:v>
      </x:c>
      <x:c r="J189" s="29" t="n">
        <x:v>22</x:v>
      </x:c>
      <x:c r="K189" s="27" t="str"/>
      <x:c r="L189" s="27" t="str"/>
      <x:c r="M189" s="27" t="str"/>
      <x:c r="N189" s="27" t="str">
        <x:v>BLACK+DECKER</x:v>
      </x:c>
      <x:c r="O189" s="27" t="str"/>
      <x:c r="P189" s="27" t="str">
        <x:v>Catalogo Black+Decker Lo Specialista 2026, pagina 35. Prezzi se presenti: raccomandati dal catalogo.</x:v>
      </x:c>
      <x:c r="Q189" s="30" t="str">
        <x:v>2026-06-10</x:v>
      </x:c>
      <x:c r="R189" s="27" t="n">
        <x:v>35</x:v>
      </x:c>
      <x:c r="S189" s="27" t="str">
        <x:v>B+D_CATALOGO Lo Specialista 2026.pdf</x:v>
      </x:c>
    </x:row>
    <x:row r="190">
      <x:c r="A190" s="27" t="str">
        <x:v>BD-0189</x:v>
      </x:c>
      <x:c r="B190" s="27" t="str">
        <x:v>5054905337056</x:v>
      </x:c>
      <x:c r="C190" s="27" t="str">
        <x:v>BLCR78M1-QW</x:v>
      </x:c>
      <x:c r="D190" s="27" t="str">
        <x:v>Sega universale brushless 18V 4.0Ah</x:v>
      </x:c>
      <x:c r="E190" s="27" t="str">
        <x:v>BLACK+DECKER</x:v>
      </x:c>
      <x:c r="F190" s="27" t="str">
        <x:v>ELETTROUTENSILI</x:v>
      </x:c>
      <x:c r="G190" s="27" t="str">
        <x:v>UTENSILI PER TAGLIARE</x:v>
      </x:c>
      <x:c r="H190" s="28" t="n">
        <x:v>107.5</x:v>
      </x:c>
      <x:c r="I190" s="28" t="n">
        <x:v>131.2</x:v>
      </x:c>
      <x:c r="J190" s="29" t="n">
        <x:v>22</x:v>
      </x:c>
      <x:c r="K190" s="27" t="str"/>
      <x:c r="L190" s="27" t="str"/>
      <x:c r="M190" s="27" t="str"/>
      <x:c r="N190" s="27" t="str">
        <x:v>BLACK+DECKER</x:v>
      </x:c>
      <x:c r="O190" s="27" t="str"/>
      <x:c r="P190" s="27" t="str">
        <x:v>Catalogo Black+Decker Lo Specialista 2026, pagina 35. Prezzi se presenti: raccomandati dal catalogo.</x:v>
      </x:c>
      <x:c r="Q190" s="30" t="str">
        <x:v>2026-06-10</x:v>
      </x:c>
      <x:c r="R190" s="27" t="n">
        <x:v>35</x:v>
      </x:c>
      <x:c r="S190" s="27" t="str">
        <x:v>B+D_CATALOGO Lo Specialista 2026.pdf</x:v>
      </x:c>
    </x:row>
    <x:row r="191">
      <x:c r="A191" s="27" t="str">
        <x:v>BD-0190</x:v>
      </x:c>
      <x:c r="B191" s="27" t="str">
        <x:v>5054905337087</x:v>
      </x:c>
      <x:c r="C191" s="27" t="str">
        <x:v>BLCR78N-XJ</x:v>
      </x:c>
      <x:c r="D191" s="27" t="str">
        <x:v>Sega universale brushless (solo corpo macchina)</x:v>
      </x:c>
      <x:c r="E191" s="27" t="str">
        <x:v>BLACK+DECKER</x:v>
      </x:c>
      <x:c r="F191" s="27" t="str">
        <x:v>ELETTROUTENSILI</x:v>
      </x:c>
      <x:c r="G191" s="27" t="str">
        <x:v>UTENSILI PER TAGLIARE</x:v>
      </x:c>
      <x:c r="H191" s="28" t="n">
        <x:v>66.4</x:v>
      </x:c>
      <x:c r="I191" s="28" t="n">
        <x:v>81</x:v>
      </x:c>
      <x:c r="J191" s="29" t="n">
        <x:v>22</x:v>
      </x:c>
      <x:c r="K191" s="27" t="str"/>
      <x:c r="L191" s="27" t="str"/>
      <x:c r="M191" s="27" t="str"/>
      <x:c r="N191" s="27" t="str">
        <x:v>BLACK+DECKER</x:v>
      </x:c>
      <x:c r="O191" s="27" t="str"/>
      <x:c r="P191" s="27" t="str">
        <x:v>Catalogo Black+Decker Lo Specialista 2026, pagina 35. Prezzi se presenti: raccomandati dal catalogo.</x:v>
      </x:c>
      <x:c r="Q191" s="30" t="str">
        <x:v>2026-06-10</x:v>
      </x:c>
      <x:c r="R191" s="27" t="n">
        <x:v>35</x:v>
      </x:c>
      <x:c r="S191" s="27" t="str">
        <x:v>B+D_CATALOGO Lo Specialista 2026.pdf</x:v>
      </x:c>
    </x:row>
    <x:row r="192">
      <x:c r="A192" s="27" t="str">
        <x:v>BD-0191</x:v>
      </x:c>
      <x:c r="B192" s="27" t="str">
        <x:v>5054905337223</x:v>
      </x:c>
      <x:c r="C192" s="27" t="str">
        <x:v>BLCJS78E1-QW</x:v>
      </x:c>
      <x:c r="D192" s="27" t="str">
        <x:v>Seghetto alternativo ad azione pendolare brushless 18V 2.5Ah</x:v>
      </x:c>
      <x:c r="E192" s="27" t="str">
        <x:v>BLACK+DECKER</x:v>
      </x:c>
      <x:c r="F192" s="27" t="str">
        <x:v>ELETTROUTENSILI</x:v>
      </x:c>
      <x:c r="G192" s="27" t="str">
        <x:v>UTENSILI PER TAGLIARE</x:v>
      </x:c>
      <x:c r="H192" s="28" t="n">
        <x:v>91</x:v>
      </x:c>
      <x:c r="I192" s="28" t="n">
        <x:v>111</x:v>
      </x:c>
      <x:c r="J192" s="29" t="n">
        <x:v>22</x:v>
      </x:c>
      <x:c r="K192" s="27" t="str"/>
      <x:c r="L192" s="27" t="str"/>
      <x:c r="M192" s="27" t="str"/>
      <x:c r="N192" s="27" t="str">
        <x:v>BLACK+DECKER</x:v>
      </x:c>
      <x:c r="O192" s="27" t="str"/>
      <x:c r="P192" s="27" t="str">
        <x:v>Catalogo Black+Decker Lo Specialista 2026, pagina 32. Prezzi se presenti: raccomandati dal catalogo.</x:v>
      </x:c>
      <x:c r="Q192" s="30" t="str">
        <x:v>2026-06-10</x:v>
      </x:c>
      <x:c r="R192" s="27" t="n">
        <x:v>32</x:v>
      </x:c>
      <x:c r="S192" s="27" t="str">
        <x:v>B+D_CATALOGO Lo Specialista 2026.pdf</x:v>
      </x:c>
    </x:row>
    <x:row r="193">
      <x:c r="A193" s="27" t="str">
        <x:v>BD-0192</x:v>
      </x:c>
      <x:c r="B193" s="27" t="str">
        <x:v>5054905337254</x:v>
      </x:c>
      <x:c r="C193" s="27" t="str">
        <x:v>BLCJS78N-XJ</x:v>
      </x:c>
      <x:c r="D193" s="27" t="str">
        <x:v>Seghetto alternativo ad azione pendolare brushless (solo corpo macchina)</x:v>
      </x:c>
      <x:c r="E193" s="27" t="str">
        <x:v>BLACK+DECKER</x:v>
      </x:c>
      <x:c r="F193" s="27" t="str">
        <x:v>ELETTROUTENSILI</x:v>
      </x:c>
      <x:c r="G193" s="27" t="str">
        <x:v>UTENSILI PER TAGLIARE</x:v>
      </x:c>
      <x:c r="H193" s="28" t="n">
        <x:v>65.9</x:v>
      </x:c>
      <x:c r="I193" s="28" t="n">
        <x:v>80.4</x:v>
      </x:c>
      <x:c r="J193" s="29" t="n">
        <x:v>22</x:v>
      </x:c>
      <x:c r="K193" s="27" t="str"/>
      <x:c r="L193" s="27" t="str"/>
      <x:c r="M193" s="27" t="str"/>
      <x:c r="N193" s="27" t="str">
        <x:v>BLACK+DECKER</x:v>
      </x:c>
      <x:c r="O193" s="27" t="str"/>
      <x:c r="P193" s="27" t="str">
        <x:v>Catalogo Black+Decker Lo Specialista 2026, pagina 32. Prezzi se presenti: raccomandati dal catalogo.</x:v>
      </x:c>
      <x:c r="Q193" s="30" t="str">
        <x:v>2026-06-10</x:v>
      </x:c>
      <x:c r="R193" s="27" t="n">
        <x:v>32</x:v>
      </x:c>
      <x:c r="S193" s="27" t="str">
        <x:v>B+D_CATALOGO Lo Specialista 2026.pdf</x:v>
      </x:c>
    </x:row>
    <x:row r="194">
      <x:c r="A194" s="27" t="str">
        <x:v>BD-0193</x:v>
      </x:c>
      <x:c r="B194" s="27" t="str">
        <x:v>5035048846933</x:v>
      </x:c>
      <x:c r="C194" s="27" t="str">
        <x:v>BLIM78N-XJ</x:v>
      </x:c>
      <x:c r="D194" s="27" t="str">
        <x:v>Avvitatore a impulsi 1/4 brushless 18V 2.5Ah</x:v>
      </x:c>
      <x:c r="E194" s="27" t="str">
        <x:v>BLACK+DECKER</x:v>
      </x:c>
      <x:c r="F194" s="27" t="str">
        <x:v>ELETTROUTENSILI</x:v>
      </x:c>
      <x:c r="G194" s="27" t="str">
        <x:v>TRAPANI A BATTERIA</x:v>
      </x:c>
      <x:c r="H194" s="28" t="n">
        <x:v>65.5</x:v>
      </x:c>
      <x:c r="I194" s="28" t="n">
        <x:v>79.9</x:v>
      </x:c>
      <x:c r="J194" s="29" t="n">
        <x:v>22</x:v>
      </x:c>
      <x:c r="K194" s="27" t="str"/>
      <x:c r="L194" s="27" t="str"/>
      <x:c r="M194" s="27" t="str"/>
      <x:c r="N194" s="27" t="str">
        <x:v>BLACK+DECKER</x:v>
      </x:c>
      <x:c r="O194" s="27" t="str"/>
      <x:c r="P194" s="27" t="str">
        <x:v>Catalogo Black+Decker Lo Specialista 2026, pagina 21. Prezzi se presenti: raccomandati dal catalogo.</x:v>
      </x:c>
      <x:c r="Q194" s="30" t="str">
        <x:v>2026-06-10</x:v>
      </x:c>
      <x:c r="R194" s="27" t="n">
        <x:v>21</x:v>
      </x:c>
      <x:c r="S194" s="27" t="str">
        <x:v>B+D_CATALOGO Lo Specialista 2026.pdf</x:v>
      </x:c>
    </x:row>
    <x:row r="195">
      <x:c r="A195" s="27" t="str">
        <x:v>BD-0194</x:v>
      </x:c>
      <x:c r="B195" s="27" t="str">
        <x:v>5035048846957</x:v>
      </x:c>
      <x:c r="C195" s="27" t="str">
        <x:v>BLIM78E1K-QW</x:v>
      </x:c>
      <x:c r="D195" s="27" t="str">
        <x:v>Avvitatore a impulsi 1/4 brushless (solo corpo macchina)</x:v>
      </x:c>
      <x:c r="E195" s="27" t="str">
        <x:v>BLACK+DECKER</x:v>
      </x:c>
      <x:c r="F195" s="27" t="str">
        <x:v>ELETTROUTENSILI</x:v>
      </x:c>
      <x:c r="G195" s="27" t="str">
        <x:v>TRAPANI A BATTERIA</x:v>
      </x:c>
      <x:c r="H195" s="28" t="n">
        <x:v>92.6</x:v>
      </x:c>
      <x:c r="I195" s="28" t="n">
        <x:v>113</x:v>
      </x:c>
      <x:c r="J195" s="29" t="n">
        <x:v>22</x:v>
      </x:c>
      <x:c r="K195" s="27" t="str"/>
      <x:c r="L195" s="27" t="str"/>
      <x:c r="M195" s="27" t="str"/>
      <x:c r="N195" s="27" t="str">
        <x:v>BLACK+DECKER</x:v>
      </x:c>
      <x:c r="O195" s="27" t="str"/>
      <x:c r="P195" s="27" t="str">
        <x:v>Catalogo Black+Decker Lo Specialista 2026, pagina 21. Prezzi se presenti: raccomandati dal catalogo.</x:v>
      </x:c>
      <x:c r="Q195" s="30" t="str">
        <x:v>2026-06-10</x:v>
      </x:c>
      <x:c r="R195" s="27" t="n">
        <x:v>21</x:v>
      </x:c>
      <x:c r="S195" s="27" t="str">
        <x:v>B+D_CATALOGO Lo Specialista 2026.pdf</x:v>
      </x:c>
    </x:row>
    <x:row r="196">
      <x:c r="A196" s="27" t="str">
        <x:v>BD-0195</x:v>
      </x:c>
      <x:c r="B196" s="27" t="str">
        <x:v>5035048846735</x:v>
      </x:c>
      <x:c r="C196" s="27" t="str">
        <x:v>BLD782E1K-QW</x:v>
      </x:c>
      <x:c r="D196" s="27" t="str">
        <x:v>Trapano avvitatore brushless 18V 2.5Ah</x:v>
      </x:c>
      <x:c r="E196" s="27" t="str">
        <x:v>BLACK+DECKER</x:v>
      </x:c>
      <x:c r="F196" s="27" t="str">
        <x:v>ELETTROUTENSILI</x:v>
      </x:c>
      <x:c r="G196" s="27" t="str">
        <x:v>TRAPANI A BATTERIA</x:v>
      </x:c>
      <x:c r="H196" s="28" t="n">
        <x:v>74.5</x:v>
      </x:c>
      <x:c r="I196" s="28" t="n">
        <x:v>90.9</x:v>
      </x:c>
      <x:c r="J196" s="29" t="n">
        <x:v>22</x:v>
      </x:c>
      <x:c r="K196" s="27" t="str"/>
      <x:c r="L196" s="27" t="str"/>
      <x:c r="M196" s="27" t="str"/>
      <x:c r="N196" s="27" t="str">
        <x:v>BLACK+DECKER</x:v>
      </x:c>
      <x:c r="O196" s="27" t="str"/>
      <x:c r="P196" s="27" t="str">
        <x:v>Catalogo Black+Decker Lo Specialista 2026, pagina 19. Prezzi se presenti: raccomandati dal catalogo.</x:v>
      </x:c>
      <x:c r="Q196" s="30" t="str">
        <x:v>2026-06-10</x:v>
      </x:c>
      <x:c r="R196" s="27" t="n">
        <x:v>19</x:v>
      </x:c>
      <x:c r="S196" s="27" t="str">
        <x:v>B+D_CATALOGO Lo Specialista 2026.pdf</x:v>
      </x:c>
    </x:row>
    <x:row r="197">
      <x:c r="A197" s="27" t="str">
        <x:v>BD-0196</x:v>
      </x:c>
      <x:c r="B197" s="27" t="str">
        <x:v>5035048846766</x:v>
      </x:c>
      <x:c r="C197" s="27" t="str">
        <x:v>BLD782E2K-QW</x:v>
      </x:c>
      <x:c r="D197" s="27" t="str">
        <x:v>Trapano avvitatore brushless 2x18V 2.5Ah</x:v>
      </x:c>
      <x:c r="E197" s="27" t="str">
        <x:v>BLACK+DECKER</x:v>
      </x:c>
      <x:c r="F197" s="27" t="str">
        <x:v>ELETTROUTENSILI</x:v>
      </x:c>
      <x:c r="G197" s="27" t="str">
        <x:v>TRAPANI A BATTERIA</x:v>
      </x:c>
      <x:c r="H197" s="28" t="n">
        <x:v>100.1</x:v>
      </x:c>
      <x:c r="I197" s="28" t="n">
        <x:v>122.1</x:v>
      </x:c>
      <x:c r="J197" s="29" t="n">
        <x:v>22</x:v>
      </x:c>
      <x:c r="K197" s="27" t="str"/>
      <x:c r="L197" s="27" t="str"/>
      <x:c r="M197" s="27" t="str"/>
      <x:c r="N197" s="27" t="str">
        <x:v>BLACK+DECKER</x:v>
      </x:c>
      <x:c r="O197" s="27" t="str"/>
      <x:c r="P197" s="27" t="str">
        <x:v>Catalogo Black+Decker Lo Specialista 2026, pagina 19. Prezzi se presenti: raccomandati dal catalogo.</x:v>
      </x:c>
      <x:c r="Q197" s="30" t="str">
        <x:v>2026-06-10</x:v>
      </x:c>
      <x:c r="R197" s="27" t="n">
        <x:v>19</x:v>
      </x:c>
      <x:c r="S197" s="27" t="str">
        <x:v>B+D_CATALOGO Lo Specialista 2026.pdf</x:v>
      </x:c>
    </x:row>
    <x:row r="198">
      <x:c r="A198" s="27" t="str">
        <x:v>BD-0197</x:v>
      </x:c>
      <x:c r="B198" s="27" t="str">
        <x:v>5035048846704</x:v>
      </x:c>
      <x:c r="C198" s="27" t="str">
        <x:v>BLD782N-XJ</x:v>
      </x:c>
      <x:c r="D198" s="27" t="str">
        <x:v>Trapano avvitatore brushless (solo corpo macchina)</x:v>
      </x:c>
      <x:c r="E198" s="27" t="str">
        <x:v>BLACK+DECKER</x:v>
      </x:c>
      <x:c r="F198" s="27" t="str">
        <x:v>ELETTROUTENSILI</x:v>
      </x:c>
      <x:c r="G198" s="27" t="str">
        <x:v>TRAPANI A BATTERIA</x:v>
      </x:c>
      <x:c r="H198" s="28" t="n">
        <x:v>54.5</x:v>
      </x:c>
      <x:c r="I198" s="28" t="n">
        <x:v>65.9</x:v>
      </x:c>
      <x:c r="J198" s="29" t="n">
        <x:v>22</x:v>
      </x:c>
      <x:c r="K198" s="27" t="str"/>
      <x:c r="L198" s="27" t="str"/>
      <x:c r="M198" s="27" t="str"/>
      <x:c r="N198" s="27" t="str">
        <x:v>BLACK+DECKER</x:v>
      </x:c>
      <x:c r="O198" s="27" t="str"/>
      <x:c r="P198" s="27" t="str">
        <x:v>Catalogo Black+Decker Lo Specialista 2026, pagina 19. Prezzi se presenti: raccomandati dal catalogo.</x:v>
      </x:c>
      <x:c r="Q198" s="30" t="str">
        <x:v>2026-06-10</x:v>
      </x:c>
      <x:c r="R198" s="27" t="n">
        <x:v>19</x:v>
      </x:c>
      <x:c r="S198" s="27" t="str">
        <x:v>B+D_CATALOGO Lo Specialista 2026.pdf</x:v>
      </x:c>
    </x:row>
    <x:row r="199">
      <x:c r="A199" s="27" t="str">
        <x:v>BD-0198</x:v>
      </x:c>
      <x:c r="B199" s="27" t="str">
        <x:v>5035048846872</x:v>
      </x:c>
      <x:c r="C199" s="27" t="str">
        <x:v>BLD783E1K-QW</x:v>
      </x:c>
      <x:c r="D199" s="27" t="str">
        <x:v>Trapano avvitatore a percussione brushless 18V 2.5Ah</x:v>
      </x:c>
      <x:c r="E199" s="27" t="str">
        <x:v>BLACK+DECKER</x:v>
      </x:c>
      <x:c r="F199" s="27" t="str">
        <x:v>ELETTROUTENSILI</x:v>
      </x:c>
      <x:c r="G199" s="27" t="str">
        <x:v>TRAPANI A BATTERIA</x:v>
      </x:c>
      <x:c r="H199" s="28" t="n">
        <x:v>82.9</x:v>
      </x:c>
      <x:c r="I199" s="28" t="n">
        <x:v>101.1</x:v>
      </x:c>
      <x:c r="J199" s="29" t="n">
        <x:v>22</x:v>
      </x:c>
      <x:c r="K199" s="27" t="str"/>
      <x:c r="L199" s="27" t="str"/>
      <x:c r="M199" s="27" t="str"/>
      <x:c r="N199" s="27" t="str">
        <x:v>BLACK+DECKER</x:v>
      </x:c>
      <x:c r="O199" s="27" t="str"/>
      <x:c r="P199" s="27" t="str">
        <x:v>Catalogo Black+Decker Lo Specialista 2026, pagina 20. Prezzi se presenti: raccomandati dal catalogo.</x:v>
      </x:c>
      <x:c r="Q199" s="30" t="str">
        <x:v>2026-06-10</x:v>
      </x:c>
      <x:c r="R199" s="27" t="n">
        <x:v>20</x:v>
      </x:c>
      <x:c r="S199" s="27" t="str">
        <x:v>B+D_CATALOGO Lo Specialista 2026.pdf</x:v>
      </x:c>
    </x:row>
    <x:row r="200">
      <x:c r="A200" s="27" t="str">
        <x:v>BD-0199</x:v>
      </x:c>
      <x:c r="B200" s="27" t="str">
        <x:v>5035048846902</x:v>
      </x:c>
      <x:c r="C200" s="27" t="str">
        <x:v>BLD783E2K-QW</x:v>
      </x:c>
      <x:c r="D200" s="27" t="str">
        <x:v>Trapano avvitatore a percussione brushless 2x18V 2.5Ah</x:v>
      </x:c>
      <x:c r="E200" s="27" t="str">
        <x:v>BLACK+DECKER</x:v>
      </x:c>
      <x:c r="F200" s="27" t="str">
        <x:v>ELETTROUTENSILI</x:v>
      </x:c>
      <x:c r="G200" s="27" t="str">
        <x:v>TRAPANI A BATTERIA</x:v>
      </x:c>
      <x:c r="H200" s="28" t="n">
        <x:v>107.5</x:v>
      </x:c>
      <x:c r="I200" s="28" t="n">
        <x:v>131.2</x:v>
      </x:c>
      <x:c r="J200" s="29" t="n">
        <x:v>22</x:v>
      </x:c>
      <x:c r="K200" s="27" t="str"/>
      <x:c r="L200" s="27" t="str"/>
      <x:c r="M200" s="27" t="str"/>
      <x:c r="N200" s="27" t="str">
        <x:v>BLACK+DECKER</x:v>
      </x:c>
      <x:c r="O200" s="27" t="str"/>
      <x:c r="P200" s="27" t="str">
        <x:v>Catalogo Black+Decker Lo Specialista 2026, pagina 20. Prezzi se presenti: raccomandati dal catalogo.</x:v>
      </x:c>
      <x:c r="Q200" s="30" t="str">
        <x:v>2026-06-10</x:v>
      </x:c>
      <x:c r="R200" s="27" t="n">
        <x:v>20</x:v>
      </x:c>
      <x:c r="S200" s="27" t="str">
        <x:v>B+D_CATALOGO Lo Specialista 2026.pdf</x:v>
      </x:c>
    </x:row>
    <x:row r="201">
      <x:c r="A201" s="27" t="str">
        <x:v>BD-0200</x:v>
      </x:c>
      <x:c r="B201" s="27" t="str">
        <x:v>5035048846841</x:v>
      </x:c>
      <x:c r="C201" s="27" t="str">
        <x:v>BLD783N-XJ</x:v>
      </x:c>
      <x:c r="D201" s="27" t="str">
        <x:v>Trapano avvitatore a percussione brushless (solo corpo macchina)</x:v>
      </x:c>
      <x:c r="E201" s="27" t="str">
        <x:v>BLACK+DECKER</x:v>
      </x:c>
      <x:c r="F201" s="27" t="str">
        <x:v>ELETTROUTENSILI</x:v>
      </x:c>
      <x:c r="G201" s="27" t="str">
        <x:v>TRAPANI A BATTERIA</x:v>
      </x:c>
      <x:c r="H201" s="28" t="n">
        <x:v>57.3</x:v>
      </x:c>
      <x:c r="I201" s="28" t="n">
        <x:v>69.9</x:v>
      </x:c>
      <x:c r="J201" s="29" t="n">
        <x:v>22</x:v>
      </x:c>
      <x:c r="K201" s="27" t="str"/>
      <x:c r="L201" s="27" t="str"/>
      <x:c r="M201" s="27" t="str"/>
      <x:c r="N201" s="27" t="str">
        <x:v>BLACK+DECKER</x:v>
      </x:c>
      <x:c r="O201" s="27" t="str"/>
      <x:c r="P201" s="27" t="str">
        <x:v>Catalogo Black+Decker Lo Specialista 2026, pagina 20. Prezzi se presenti: raccomandati dal catalogo.</x:v>
      </x:c>
      <x:c r="Q201" s="30" t="str">
        <x:v>2026-06-10</x:v>
      </x:c>
      <x:c r="R201" s="27" t="n">
        <x:v>20</x:v>
      </x:c>
      <x:c r="S201" s="27" t="str">
        <x:v>B+D_CATALOGO Lo Specialista 2026.pdf</x:v>
      </x:c>
    </x:row>
    <x:row r="202">
      <x:c r="A202" s="27" t="str">
        <x:v>BD-0201</x:v>
      </x:c>
      <x:c r="B202" s="27" t="str">
        <x:v>5035048715406</x:v>
      </x:c>
      <x:c r="C202" s="27" t="str">
        <x:v>BSV520BRB-QW</x:v>
      </x:c>
      <x:c r="D202" s="27" t="str">
        <x:v>Scopa ricaricabile 18V Premier</x:v>
      </x:c>
      <x:c r="E202" s="27" t="str">
        <x:v>BLACK+DECKER</x:v>
      </x:c>
      <x:c r="F202" s="27" t="str">
        <x:v>CURA DELLA CASA</x:v>
      </x:c>
      <x:c r="G202" s="27" t="str">
        <x:v>CURA DELLA CASA</x:v>
      </x:c>
      <x:c r="H202" s="28" t="n">
        <x:v>172.1</x:v>
      </x:c>
      <x:c r="I202" s="28" t="n">
        <x:v>209.9</x:v>
      </x:c>
      <x:c r="J202" s="29" t="n">
        <x:v>22</x:v>
      </x:c>
      <x:c r="K202" s="27" t="str"/>
      <x:c r="L202" s="27" t="str"/>
      <x:c r="M202" s="27" t="str"/>
      <x:c r="N202" s="27" t="str">
        <x:v>BLACK+DECKER</x:v>
      </x:c>
      <x:c r="O202" s="27" t="str"/>
      <x:c r="P202" s="27" t="str">
        <x:v>Catalogo Black+Decker Lo Specialista 2026, pagina 122. Prezzi se presenti: raccomandati dal catalogo.</x:v>
      </x:c>
      <x:c r="Q202" s="30" t="str">
        <x:v>2026-06-10</x:v>
      </x:c>
      <x:c r="R202" s="27" t="n">
        <x:v>122</x:v>
      </x:c>
      <x:c r="S202" s="27" t="str">
        <x:v>B+D_CATALOGO Lo Specialista 2026.pdf</x:v>
      </x:c>
    </x:row>
    <x:row r="203">
      <x:c r="A203" s="27" t="str">
        <x:v>BD-0202</x:v>
      </x:c>
      <x:c r="B203" s="27" t="str">
        <x:v>5035048741306</x:v>
      </x:c>
      <x:c r="C203" s="27" t="str">
        <x:v>BZO51N1-XJ</x:v>
      </x:c>
      <x:c r="D203" s="27" t="str">
        <x:v>Ugello 5 in 1</x:v>
      </x:c>
      <x:c r="E203" s="27" t="str">
        <x:v>BLACK+DECKER</x:v>
      </x:c>
      <x:c r="F203" s="27" t="str">
        <x:v>GAMMA GIARDINO</x:v>
      </x:c>
      <x:c r="G203" s="27" t="str">
        <x:v>ACCESSORI GIARDINO</x:v>
      </x:c>
      <x:c r="H203" s="28"/>
      <x:c r="I203" s="28"/>
      <x:c r="J203" s="29" t="n">
        <x:v>22</x:v>
      </x:c>
      <x:c r="K203" s="27" t="str"/>
      <x:c r="L203" s="27" t="str"/>
      <x:c r="M203" s="27" t="str"/>
      <x:c r="N203" s="27" t="str">
        <x:v>BLACK+DECKER</x:v>
      </x:c>
      <x:c r="O203" s="27" t="str"/>
      <x:c r="P203" s="27" t="str">
        <x:v>Catalogo Black+Decker Lo Specialista 2026, pagina 120. Prezzi se presenti: raccomandati dal catalogo.</x:v>
      </x:c>
      <x:c r="Q203" s="30" t="str">
        <x:v>2026-06-10</x:v>
      </x:c>
      <x:c r="R203" s="27" t="n">
        <x:v>120</x:v>
      </x:c>
      <x:c r="S203" s="27" t="str">
        <x:v>B+D_CATALOGO Lo Specialista 2026.pdf</x:v>
      </x:c>
    </x:row>
    <x:row r="204">
      <x:c r="A204" s="27" t="str">
        <x:v>BD-0203</x:v>
      </x:c>
      <x:c r="B204" s="27" t="str">
        <x:v>5035048741320</x:v>
      </x:c>
      <x:c r="C204" s="27" t="str">
        <x:v>BZOB1-XJ</x:v>
      </x:c>
      <x:c r="D204" s="27" t="str">
        <x:v>Secchio</x:v>
      </x:c>
      <x:c r="E204" s="27" t="str">
        <x:v>BLACK+DECKER</x:v>
      </x:c>
      <x:c r="F204" s="27" t="str">
        <x:v>GAMMA GIARDINO</x:v>
      </x:c>
      <x:c r="G204" s="27" t="str">
        <x:v>ACCESSORI GIARDINO</x:v>
      </x:c>
      <x:c r="H204" s="28"/>
      <x:c r="I204" s="28"/>
      <x:c r="J204" s="29" t="n">
        <x:v>22</x:v>
      </x:c>
      <x:c r="K204" s="27" t="str"/>
      <x:c r="L204" s="27" t="str"/>
      <x:c r="M204" s="27" t="str"/>
      <x:c r="N204" s="27" t="str">
        <x:v>BLACK+DECKER</x:v>
      </x:c>
      <x:c r="O204" s="27" t="str"/>
      <x:c r="P204" s="27" t="str">
        <x:v>Catalogo Black+Decker Lo Specialista 2026, pagina 120. Prezzi se presenti: raccomandati dal catalogo.</x:v>
      </x:c>
      <x:c r="Q204" s="30" t="str">
        <x:v>2026-06-10</x:v>
      </x:c>
      <x:c r="R204" s="27" t="n">
        <x:v>120</x:v>
      </x:c>
      <x:c r="S204" s="27" t="str">
        <x:v>B+D_CATALOGO Lo Specialista 2026.pdf</x:v>
      </x:c>
    </x:row>
    <x:row r="205">
      <x:c r="A205" s="27" t="str">
        <x:v>BD-0204</x:v>
      </x:c>
      <x:c r="B205" s="27" t="str">
        <x:v>5035048741245</x:v>
      </x:c>
      <x:c r="C205" s="27" t="str">
        <x:v>BZOIHK2-XJ</x:v>
      </x:c>
      <x:c r="D205" s="27" t="str">
        <x:v>Tubo (6 metri con galleggiante) + adattatore quickconnect</x:v>
      </x:c>
      <x:c r="E205" s="27" t="str">
        <x:v>BLACK+DECKER</x:v>
      </x:c>
      <x:c r="F205" s="27" t="str">
        <x:v>GAMMA GIARDINO</x:v>
      </x:c>
      <x:c r="G205" s="27" t="str">
        <x:v>ACCESSORI GIARDINO</x:v>
      </x:c>
      <x:c r="H205" s="28"/>
      <x:c r="I205" s="28"/>
      <x:c r="J205" s="29" t="n">
        <x:v>22</x:v>
      </x:c>
      <x:c r="K205" s="27" t="str"/>
      <x:c r="L205" s="27" t="str"/>
      <x:c r="M205" s="27" t="str"/>
      <x:c r="N205" s="27" t="str">
        <x:v>BLACK+DECKER</x:v>
      </x:c>
      <x:c r="O205" s="27" t="str"/>
      <x:c r="P205" s="27" t="str">
        <x:v>Catalogo Black+Decker Lo Specialista 2026, pagina 120. Prezzi se presenti: raccomandati dal catalogo.</x:v>
      </x:c>
      <x:c r="Q205" s="30" t="str">
        <x:v>2026-06-10</x:v>
      </x:c>
      <x:c r="R205" s="27" t="n">
        <x:v>120</x:v>
      </x:c>
      <x:c r="S205" s="27" t="str">
        <x:v>B+D_CATALOGO Lo Specialista 2026.pdf</x:v>
      </x:c>
    </x:row>
    <x:row r="206">
      <x:c r="A206" s="27" t="str">
        <x:v>BD-0205</x:v>
      </x:c>
      <x:c r="B206" s="27" t="str">
        <x:v>5035048741344</x:v>
      </x:c>
      <x:c r="C206" s="27" t="str">
        <x:v>BZOQDW1-XJ</x:v>
      </x:c>
      <x:c r="D206" s="27" t="str">
        <x:v>Lancia lunga</x:v>
      </x:c>
      <x:c r="E206" s="27" t="str">
        <x:v>BLACK+DECKER</x:v>
      </x:c>
      <x:c r="F206" s="27" t="str">
        <x:v>GAMMA GIARDINO</x:v>
      </x:c>
      <x:c r="G206" s="27" t="str">
        <x:v>ACCESSORI GIARDINO</x:v>
      </x:c>
      <x:c r="H206" s="28"/>
      <x:c r="I206" s="28"/>
      <x:c r="J206" s="29" t="n">
        <x:v>22</x:v>
      </x:c>
      <x:c r="K206" s="27" t="str"/>
      <x:c r="L206" s="27" t="str"/>
      <x:c r="M206" s="27" t="str"/>
      <x:c r="N206" s="27" t="str">
        <x:v>BLACK+DECKER</x:v>
      </x:c>
      <x:c r="O206" s="27" t="str"/>
      <x:c r="P206" s="27" t="str">
        <x:v>Catalogo Black+Decker Lo Specialista 2026, pagina 120. Prezzi se presenti: raccomandati dal catalogo.</x:v>
      </x:c>
      <x:c r="Q206" s="30" t="str">
        <x:v>2026-06-10</x:v>
      </x:c>
      <x:c r="R206" s="27" t="n">
        <x:v>120</x:v>
      </x:c>
      <x:c r="S206" s="27" t="str">
        <x:v>B+D_CATALOGO Lo Specialista 2026.pdf</x:v>
      </x:c>
    </x:row>
    <x:row r="207">
      <x:c r="A207" s="27" t="str">
        <x:v>BD-0206</x:v>
      </x:c>
      <x:c r="B207" s="27" t="str">
        <x:v>5035048741269</x:v>
      </x:c>
      <x:c r="C207" s="27" t="str">
        <x:v>BZOSBSK3-XJ</x:v>
      </x:c>
      <x:c r="D207" s="27" t="str">
        <x:v>Kit pulizia (spazzola + porta detergente)</x:v>
      </x:c>
      <x:c r="E207" s="27" t="str">
        <x:v>BLACK+DECKER</x:v>
      </x:c>
      <x:c r="F207" s="27" t="str">
        <x:v>GAMMA GIARDINO</x:v>
      </x:c>
      <x:c r="G207" s="27" t="str">
        <x:v>ACCESSORI GIARDINO</x:v>
      </x:c>
      <x:c r="H207" s="28"/>
      <x:c r="I207" s="28"/>
      <x:c r="J207" s="29" t="n">
        <x:v>22</x:v>
      </x:c>
      <x:c r="K207" s="27" t="str"/>
      <x:c r="L207" s="27" t="str"/>
      <x:c r="M207" s="27" t="str"/>
      <x:c r="N207" s="27" t="str">
        <x:v>BLACK+DECKER</x:v>
      </x:c>
      <x:c r="O207" s="27" t="str"/>
      <x:c r="P207" s="27" t="str">
        <x:v>Catalogo Black+Decker Lo Specialista 2026, pagina 120. Prezzi se presenti: raccomandati dal catalogo.</x:v>
      </x:c>
      <x:c r="Q207" s="30" t="str">
        <x:v>2026-06-10</x:v>
      </x:c>
      <x:c r="R207" s="27" t="n">
        <x:v>120</x:v>
      </x:c>
      <x:c r="S207" s="27" t="str">
        <x:v>B+D_CATALOGO Lo Specialista 2026.pdf</x:v>
      </x:c>
    </x:row>
    <x:row r="208">
      <x:c r="A208" s="27" t="str">
        <x:v>BD-0207</x:v>
      </x:c>
      <x:c r="B208" s="27" t="str">
        <x:v>5035048741283</x:v>
      </x:c>
      <x:c r="C208" s="27" t="str">
        <x:v>BZOSW1-XJ</x:v>
      </x:c>
      <x:c r="D208" s="27" t="str">
        <x:v>Lancia corta</x:v>
      </x:c>
      <x:c r="E208" s="27" t="str">
        <x:v>BLACK+DECKER</x:v>
      </x:c>
      <x:c r="F208" s="27" t="str">
        <x:v>GAMMA GIARDINO</x:v>
      </x:c>
      <x:c r="G208" s="27" t="str">
        <x:v>ACCESSORI GIARDINO</x:v>
      </x:c>
      <x:c r="H208" s="28"/>
      <x:c r="I208" s="28"/>
      <x:c r="J208" s="29" t="n">
        <x:v>22</x:v>
      </x:c>
      <x:c r="K208" s="27" t="str"/>
      <x:c r="L208" s="27" t="str"/>
      <x:c r="M208" s="27" t="str"/>
      <x:c r="N208" s="27" t="str">
        <x:v>BLACK+DECKER</x:v>
      </x:c>
      <x:c r="O208" s="27" t="str"/>
      <x:c r="P208" s="27" t="str">
        <x:v>Catalogo Black+Decker Lo Specialista 2026, pagina 120. Prezzi se presenti: raccomandati dal catalogo.</x:v>
      </x:c>
      <x:c r="Q208" s="30" t="str">
        <x:v>2026-06-10</x:v>
      </x:c>
      <x:c r="R208" s="27" t="n">
        <x:v>120</x:v>
      </x:c>
      <x:c r="S208" s="27" t="str">
        <x:v>B+D_CATALOGO Lo Specialista 2026.pdf</x:v>
      </x:c>
    </x:row>
    <x:row r="209">
      <x:c r="A209" s="27" t="str">
        <x:v>BD-0208</x:v>
      </x:c>
      <x:c r="B209" s="27" t="str">
        <x:v>5035048637272</x:v>
      </x:c>
      <x:c r="C209" s="27" t="str">
        <x:v>CLMA4820L2-QW</x:v>
      </x:c>
      <x:c r="D209" s="27" t="str">
        <x:v>Rasaerba con doppia batteria 36V</x:v>
      </x:c>
      <x:c r="E209" s="27" t="str">
        <x:v>BLACK+DECKER</x:v>
      </x:c>
      <x:c r="F209" s="27" t="str">
        <x:v>GAMMA GIARDINO</x:v>
      </x:c>
      <x:c r="G209" s="27" t="str">
        <x:v>RASAERBA</x:v>
      </x:c>
      <x:c r="H209" s="28" t="n">
        <x:v>405.6</x:v>
      </x:c>
      <x:c r="I209" s="28" t="n">
        <x:v>494.8</x:v>
      </x:c>
      <x:c r="J209" s="29" t="n">
        <x:v>22</x:v>
      </x:c>
      <x:c r="K209" s="27" t="str"/>
      <x:c r="L209" s="27" t="str"/>
      <x:c r="M209" s="27" t="str"/>
      <x:c r="N209" s="27" t="str">
        <x:v>BLACK+DECKER</x:v>
      </x:c>
      <x:c r="O209" s="27" t="str"/>
      <x:c r="P209" s="27" t="str">
        <x:v>Catalogo Black+Decker Lo Specialista 2026, pagina 85. Prezzi se presenti: raccomandati dal catalogo.</x:v>
      </x:c>
      <x:c r="Q209" s="30" t="str">
        <x:v>2026-06-10</x:v>
      </x:c>
      <x:c r="R209" s="27" t="n">
        <x:v>85</x:v>
      </x:c>
      <x:c r="S209" s="27" t="str">
        <x:v>B+D_CATALOGO Lo Specialista 2026.pdf</x:v>
      </x:c>
    </x:row>
    <x:row r="210">
      <x:c r="A210" s="27" t="str">
        <x:v>BD-0209</x:v>
      </x:c>
      <x:c r="B210" s="27" t="str">
        <x:v>5035048459041</x:v>
      </x:c>
      <x:c r="C210" s="27" t="str">
        <x:v>CM100-XJ</x:v>
      </x:c>
      <x:c r="D210" s="27" t="str">
        <x:v>Base "3 - in - 1", due altezze taglio, ruote durevoli, leggero e compatto</x:v>
      </x:c>
      <x:c r="E210" s="27" t="str">
        <x:v>BLACK+DECKER</x:v>
      </x:c>
      <x:c r="F210" s="27" t="str">
        <x:v>GAMMA GIARDINO</x:v>
      </x:c>
      <x:c r="G210" s="27" t="str">
        <x:v>ACCESSORI GIARDINO</x:v>
      </x:c>
      <x:c r="H210" s="28" t="n">
        <x:v>139.2</x:v>
      </x:c>
      <x:c r="I210" s="28" t="n">
        <x:v>169.8</x:v>
      </x:c>
      <x:c r="J210" s="29" t="n">
        <x:v>22</x:v>
      </x:c>
      <x:c r="K210" s="27" t="str"/>
      <x:c r="L210" s="27" t="str"/>
      <x:c r="M210" s="27" t="str"/>
      <x:c r="N210" s="27" t="str">
        <x:v>BLACK+DECKER</x:v>
      </x:c>
      <x:c r="O210" s="27" t="str"/>
      <x:c r="P210" s="27" t="str">
        <x:v>Catalogo Black+Decker Lo Specialista 2026, pagina 97. Prezzi se presenti: raccomandati dal catalogo.</x:v>
      </x:c>
      <x:c r="Q210" s="30" t="str">
        <x:v>2026-06-10</x:v>
      </x:c>
      <x:c r="R210" s="27" t="n">
        <x:v>97</x:v>
      </x:c>
      <x:c r="S210" s="27" t="str">
        <x:v>B+D_CATALOGO Lo Specialista 2026.pdf</x:v>
      </x:c>
    </x:row>
    <x:row r="211">
      <x:c r="A211" s="27" t="str">
        <x:v>BD-0210</x:v>
      </x:c>
      <x:c r="B211" s="27" t="str">
        <x:v>5035048810309</x:v>
      </x:c>
      <x:c r="C211" s="27" t="str">
        <x:v>CS1200-QS</x:v>
      </x:c>
      <x:c r="D211" s="27" t="str">
        <x:v>Sega circolare 1200W</x:v>
      </x:c>
      <x:c r="E211" s="27" t="str">
        <x:v>BLACK+DECKER</x:v>
      </x:c>
      <x:c r="F211" s="27" t="str">
        <x:v>ELETTROUTENSILI</x:v>
      </x:c>
      <x:c r="G211" s="27" t="str">
        <x:v>UTENSILI PER TAGLIARE</x:v>
      </x:c>
      <x:c r="H211" s="28"/>
      <x:c r="I211" s="28"/>
      <x:c r="J211" s="29" t="n">
        <x:v>22</x:v>
      </x:c>
      <x:c r="K211" s="27" t="str"/>
      <x:c r="L211" s="27" t="str"/>
      <x:c r="M211" s="27" t="str"/>
      <x:c r="N211" s="27" t="str">
        <x:v>BLACK+DECKER</x:v>
      </x:c>
      <x:c r="O211" s="27" t="str"/>
      <x:c r="P211" s="27" t="str">
        <x:v>Catalogo Black+Decker Lo Specialista 2026, pagina 36. Prezzi se presenti: raccomandati dal catalogo.</x:v>
      </x:c>
      <x:c r="Q211" s="30" t="str">
        <x:v>2026-06-10</x:v>
      </x:c>
      <x:c r="R211" s="27" t="n">
        <x:v>36</x:v>
      </x:c>
      <x:c r="S211" s="27" t="str">
        <x:v>B+D_CATALOGO Lo Specialista 2026.pdf</x:v>
      </x:c>
    </x:row>
    <x:row r="212">
      <x:c r="A212" s="27" t="str">
        <x:v>BD-0211</x:v>
      </x:c>
      <x:c r="B212" s="27" t="str">
        <x:v>5035048659182</x:v>
      </x:c>
      <x:c r="C212" s="27" t="str">
        <x:v>CS1250L-QS</x:v>
      </x:c>
      <x:c r="D212" s="27" t="str">
        <x:v>Sega circolare 1250W</x:v>
      </x:c>
      <x:c r="E212" s="27" t="str">
        <x:v>BLACK+DECKER</x:v>
      </x:c>
      <x:c r="F212" s="27" t="str">
        <x:v>ELETTROUTENSILI</x:v>
      </x:c>
      <x:c r="G212" s="27" t="str">
        <x:v>UTENSILI PER TAGLIARE</x:v>
      </x:c>
      <x:c r="H212" s="28"/>
      <x:c r="I212" s="28"/>
      <x:c r="J212" s="29" t="n">
        <x:v>22</x:v>
      </x:c>
      <x:c r="K212" s="27" t="str"/>
      <x:c r="L212" s="27" t="str"/>
      <x:c r="M212" s="27" t="str"/>
      <x:c r="N212" s="27" t="str">
        <x:v>BLACK+DECKER</x:v>
      </x:c>
      <x:c r="O212" s="27" t="str"/>
      <x:c r="P212" s="27" t="str">
        <x:v>Catalogo Black+Decker Lo Specialista 2026, pagina 36. Prezzi se presenti: raccomandati dal catalogo.</x:v>
      </x:c>
      <x:c r="Q212" s="30" t="str">
        <x:v>2026-06-10</x:v>
      </x:c>
      <x:c r="R212" s="27" t="n">
        <x:v>36</x:v>
      </x:c>
      <x:c r="S212" s="27" t="str">
        <x:v>B+D_CATALOGO Lo Specialista 2026.pdf</x:v>
      </x:c>
    </x:row>
    <x:row r="213">
      <x:c r="A213" s="27" t="str">
        <x:v>BD-0212</x:v>
      </x:c>
      <x:c r="B213" s="27" t="str">
        <x:v>5035048655078</x:v>
      </x:c>
      <x:c r="C213" s="27" t="str">
        <x:v>CS1550-QS</x:v>
      </x:c>
      <x:c r="D213" s="27" t="str">
        <x:v>Sega circolare a filo 1500W</x:v>
      </x:c>
      <x:c r="E213" s="27" t="str">
        <x:v>BLACK+DECKER</x:v>
      </x:c>
      <x:c r="F213" s="27" t="str">
        <x:v>ELETTROUTENSILI</x:v>
      </x:c>
      <x:c r="G213" s="27" t="str">
        <x:v>UTENSILI PER TAGLIARE</x:v>
      </x:c>
      <x:c r="H213" s="28"/>
      <x:c r="I213" s="28"/>
      <x:c r="J213" s="29" t="n">
        <x:v>22</x:v>
      </x:c>
      <x:c r="K213" s="27" t="str"/>
      <x:c r="L213" s="27" t="str"/>
      <x:c r="M213" s="27" t="str"/>
      <x:c r="N213" s="27" t="str">
        <x:v>BLACK+DECKER</x:v>
      </x:c>
      <x:c r="O213" s="27" t="str"/>
      <x:c r="P213" s="27" t="str">
        <x:v>Catalogo Black+Decker Lo Specialista 2026, pagina 37. Prezzi se presenti: raccomandati dal catalogo.</x:v>
      </x:c>
      <x:c r="Q213" s="30" t="str">
        <x:v>2026-06-10</x:v>
      </x:c>
      <x:c r="R213" s="27" t="n">
        <x:v>37</x:v>
      </x:c>
      <x:c r="S213" s="27" t="str">
        <x:v>B+D_CATALOGO Lo Specialista 2026.pdf</x:v>
      </x:c>
    </x:row>
    <x:row r="214">
      <x:c r="A214" s="27" t="str">
        <x:v>BD-0213</x:v>
      </x:c>
      <x:c r="B214" s="27" t="str">
        <x:v>5035048555965</x:v>
      </x:c>
      <x:c r="C214" s="27" t="str">
        <x:v>CS3651LC-QW</x:v>
      </x:c>
      <x:c r="D214" s="27" t="str">
        <x:v>Svitavvita compatto</x:v>
      </x:c>
      <x:c r="E214" s="27" t="str">
        <x:v>BLACK+DECKER</x:v>
      </x:c>
      <x:c r="F214" s="27" t="str">
        <x:v>ELETTROUTENSILI</x:v>
      </x:c>
      <x:c r="G214" s="27" t="str">
        <x:v>SVITAVVITA</x:v>
      </x:c>
      <x:c r="H214" s="28" t="n">
        <x:v>24.5</x:v>
      </x:c>
      <x:c r="I214" s="28" t="n">
        <x:v>29.9</x:v>
      </x:c>
      <x:c r="J214" s="29" t="n">
        <x:v>22</x:v>
      </x:c>
      <x:c r="K214" s="27" t="str"/>
      <x:c r="L214" s="27" t="str"/>
      <x:c r="M214" s="27" t="str"/>
      <x:c r="N214" s="27" t="str">
        <x:v>BLACK+DECKER</x:v>
      </x:c>
      <x:c r="O214" s="27" t="str"/>
      <x:c r="P214" s="27" t="str">
        <x:v>Catalogo Black+Decker Lo Specialista 2026, pagina 25. Prezzi se presenti: raccomandati dal catalogo.</x:v>
      </x:c>
      <x:c r="Q214" s="30" t="str">
        <x:v>2026-06-10</x:v>
      </x:c>
      <x:c r="R214" s="27" t="n">
        <x:v>25</x:v>
      </x:c>
      <x:c r="S214" s="27" t="str">
        <x:v>B+D_CATALOGO Lo Specialista 2026.pdf</x:v>
      </x:c>
    </x:row>
    <x:row r="215">
      <x:c r="A215" s="27" t="str">
        <x:v>BD-0214</x:v>
      </x:c>
      <x:c r="B215" s="27" t="str">
        <x:v>5035048556900</x:v>
      </x:c>
      <x:c r="C215" s="27" t="str">
        <x:v>CS3652LC-QW</x:v>
      </x:c>
      <x:c r="D215" s="27" t="str">
        <x:v>Svitavvita con testa ad angolo</x:v>
      </x:c>
      <x:c r="E215" s="27" t="str">
        <x:v>BLACK+DECKER</x:v>
      </x:c>
      <x:c r="F215" s="27" t="str">
        <x:v>ELETTROUTENSILI</x:v>
      </x:c>
      <x:c r="G215" s="27" t="str">
        <x:v>SVITAVVITA</x:v>
      </x:c>
      <x:c r="H215" s="28" t="n">
        <x:v>26.2</x:v>
      </x:c>
      <x:c r="I215" s="28" t="n">
        <x:v>32</x:v>
      </x:c>
      <x:c r="J215" s="29" t="n">
        <x:v>22</x:v>
      </x:c>
      <x:c r="K215" s="27" t="str"/>
      <x:c r="L215" s="27" t="str"/>
      <x:c r="M215" s="27" t="str"/>
      <x:c r="N215" s="27" t="str">
        <x:v>BLACK+DECKER</x:v>
      </x:c>
      <x:c r="O215" s="27" t="str"/>
      <x:c r="P215" s="27" t="str">
        <x:v>Catalogo Black+Decker Lo Specialista 2026, pagina 27. Prezzi se presenti: raccomandati dal catalogo.</x:v>
      </x:c>
      <x:c r="Q215" s="30" t="str">
        <x:v>2026-06-10</x:v>
      </x:c>
      <x:c r="R215" s="27" t="n">
        <x:v>27</x:v>
      </x:c>
      <x:c r="S215" s="27" t="str">
        <x:v>B+D_CATALOGO Lo Specialista 2026.pdf</x:v>
      </x:c>
    </x:row>
    <x:row r="216">
      <x:c r="A216" s="27" t="str">
        <x:v>BD-0215</x:v>
      </x:c>
      <x:c r="B216" s="27" t="str">
        <x:v>5035048840757</x:v>
      </x:c>
      <x:c r="C216" s="27" t="str">
        <x:v>DVD320B-QW</x:v>
      </x:c>
      <x:c r="D216" s="27" t="str">
        <x:v>Dustbuster con luci led</x:v>
      </x:c>
      <x:c r="E216" s="27" t="str">
        <x:v>BLACK+DECKER</x:v>
      </x:c>
      <x:c r="F216" s="27" t="str">
        <x:v>CURA DELLA CASA</x:v>
      </x:c>
      <x:c r="G216" s="27" t="str">
        <x:v>CURA DELLA CASA</x:v>
      </x:c>
      <x:c r="H216" s="28" t="n">
        <x:v>49.1</x:v>
      </x:c>
      <x:c r="I216" s="28" t="n">
        <x:v>59.9</x:v>
      </x:c>
      <x:c r="J216" s="29" t="n">
        <x:v>22</x:v>
      </x:c>
      <x:c r="K216" s="27" t="str"/>
      <x:c r="L216" s="27" t="str"/>
      <x:c r="M216" s="27" t="str"/>
      <x:c r="N216" s="27" t="str">
        <x:v>BLACK+DECKER</x:v>
      </x:c>
      <x:c r="O216" s="27" t="str"/>
      <x:c r="P216" s="27" t="str">
        <x:v>Catalogo Black+Decker Lo Specialista 2026, pagina 123. Prezzi se presenti: raccomandati dal catalogo.</x:v>
      </x:c>
      <x:c r="Q216" s="30" t="str">
        <x:v>2026-06-10</x:v>
      </x:c>
      <x:c r="R216" s="27" t="n">
        <x:v>123</x:v>
      </x:c>
      <x:c r="S216" s="27" t="str">
        <x:v>B+D_CATALOGO Lo Specialista 2026.pdf</x:v>
      </x:c>
    </x:row>
    <x:row r="217">
      <x:c r="A217" s="27" t="str">
        <x:v>BD-0216</x:v>
      </x:c>
      <x:c r="B217" s="27" t="str">
        <x:v>5035048238875</x:v>
      </x:c>
      <x:c r="C217" s="27" t="str">
        <x:v>GKC1000L-QW</x:v>
      </x:c>
      <x:c r="D217" s="27" t="str">
        <x:v>Potatore a batteria 18V</x:v>
      </x:c>
      <x:c r="E217" s="27" t="str">
        <x:v>BLACK+DECKER</x:v>
      </x:c>
      <x:c r="F217" s="27" t="str">
        <x:v>GAMMA GIARDINO</x:v>
      </x:c>
      <x:c r="G217" s="27" t="str">
        <x:v>ELETTROSEGHE E POTATORI</x:v>
      </x:c>
      <x:c r="H217" s="28" t="n">
        <x:v>139.3</x:v>
      </x:c>
      <x:c r="I217" s="28" t="n">
        <x:v>169.9</x:v>
      </x:c>
      <x:c r="J217" s="29" t="n">
        <x:v>22</x:v>
      </x:c>
      <x:c r="K217" s="27" t="str"/>
      <x:c r="L217" s="27" t="str"/>
      <x:c r="M217" s="27" t="str"/>
      <x:c r="N217" s="27" t="str">
        <x:v>BLACK+DECKER</x:v>
      </x:c>
      <x:c r="O217" s="27" t="str"/>
      <x:c r="P217" s="27" t="str">
        <x:v>Catalogo Black+Decker Lo Specialista 2026, pagina 108. Prezzi se presenti: raccomandati dal catalogo.</x:v>
      </x:c>
      <x:c r="Q217" s="30" t="str">
        <x:v>2026-06-10</x:v>
      </x:c>
      <x:c r="R217" s="27" t="n">
        <x:v>108</x:v>
      </x:c>
      <x:c r="S217" s="27" t="str">
        <x:v>B+D_CATALOGO Lo Specialista 2026.pdf</x:v>
      </x:c>
    </x:row>
    <x:row r="218">
      <x:c r="A218" s="27" t="str">
        <x:v>BD-0217</x:v>
      </x:c>
      <x:c r="B218" s="27" t="str">
        <x:v>5035048470558</x:v>
      </x:c>
      <x:c r="C218" s="27" t="str">
        <x:v>GKC1820L20-QW</x:v>
      </x:c>
      <x:c r="D218" s="27" t="str">
        <x:v>Elettrosega a batteria 18V</x:v>
      </x:c>
      <x:c r="E218" s="27" t="str">
        <x:v>BLACK+DECKER</x:v>
      </x:c>
      <x:c r="F218" s="27" t="str">
        <x:v>GAMMA GIARDINO</x:v>
      </x:c>
      <x:c r="G218" s="27" t="str">
        <x:v>ELETTROSEGHE E POTATORI</x:v>
      </x:c>
      <x:c r="H218" s="28" t="n">
        <x:v>114.7</x:v>
      </x:c>
      <x:c r="I218" s="28" t="n">
        <x:v>139.9</x:v>
      </x:c>
      <x:c r="J218" s="29" t="n">
        <x:v>22</x:v>
      </x:c>
      <x:c r="K218" s="27" t="str"/>
      <x:c r="L218" s="27" t="str"/>
      <x:c r="M218" s="27" t="str"/>
      <x:c r="N218" s="27" t="str">
        <x:v>BLACK+DECKER</x:v>
      </x:c>
      <x:c r="O218" s="27" t="str"/>
      <x:c r="P218" s="27" t="str">
        <x:v>Catalogo Black+Decker Lo Specialista 2026, pagina 105. Prezzi se presenti: raccomandati dal catalogo.</x:v>
      </x:c>
      <x:c r="Q218" s="30" t="str">
        <x:v>2026-06-10</x:v>
      </x:c>
      <x:c r="R218" s="27" t="n">
        <x:v>105</x:v>
      </x:c>
      <x:c r="S218" s="27" t="str">
        <x:v>B+D_CATALOGO Lo Specialista 2026.pdf</x:v>
      </x:c>
    </x:row>
    <x:row r="219">
      <x:c r="A219" s="27" t="str">
        <x:v>BD-0218</x:v>
      </x:c>
      <x:c r="B219" s="27" t="str">
        <x:v>5035048437858</x:v>
      </x:c>
      <x:c r="C219" s="27" t="str">
        <x:v>GKC1820LB-QW</x:v>
      </x:c>
      <x:c r="D219" s="27" t="str">
        <x:v>Elettrosega a batteria 18V (solo corpo macchina)</x:v>
      </x:c>
      <x:c r="E219" s="27" t="str">
        <x:v>BLACK+DECKER</x:v>
      </x:c>
      <x:c r="F219" s="27" t="str">
        <x:v>GAMMA GIARDINO</x:v>
      </x:c>
      <x:c r="G219" s="27" t="str">
        <x:v>ELETTROSEGHE E POTATORI</x:v>
      </x:c>
      <x:c r="H219" s="28" t="n">
        <x:v>73.7</x:v>
      </x:c>
      <x:c r="I219" s="28" t="n">
        <x:v>89.9</x:v>
      </x:c>
      <x:c r="J219" s="29" t="n">
        <x:v>22</x:v>
      </x:c>
      <x:c r="K219" s="27" t="str"/>
      <x:c r="L219" s="27" t="str"/>
      <x:c r="M219" s="27" t="str"/>
      <x:c r="N219" s="27" t="str">
        <x:v>BLACK+DECKER</x:v>
      </x:c>
      <x:c r="O219" s="27" t="str"/>
      <x:c r="P219" s="27" t="str">
        <x:v>Catalogo Black+Decker Lo Specialista 2026, pagina 105. Prezzi se presenti: raccomandati dal catalogo.</x:v>
      </x:c>
      <x:c r="Q219" s="30" t="str">
        <x:v>2026-06-10</x:v>
      </x:c>
      <x:c r="R219" s="27" t="n">
        <x:v>105</x:v>
      </x:c>
      <x:c r="S219" s="27" t="str">
        <x:v>B+D_CATALOGO Lo Specialista 2026.pdf</x:v>
      </x:c>
    </x:row>
    <x:row r="220">
      <x:c r="A220" s="27" t="str">
        <x:v>BD-0219</x:v>
      </x:c>
      <x:c r="B220" s="27" t="str">
        <x:v>5035048465936</x:v>
      </x:c>
      <x:c r="C220" s="27" t="str">
        <x:v>GKC1825L20-QW</x:v>
      </x:c>
      <x:c r="D220" s="27" t="str">
        <x:v>Elettrosega a batteria 18V</x:v>
      </x:c>
      <x:c r="E220" s="27" t="str">
        <x:v>BLACK+DECKER</x:v>
      </x:c>
      <x:c r="F220" s="27" t="str">
        <x:v>GAMMA GIARDINO</x:v>
      </x:c>
      <x:c r="G220" s="27" t="str">
        <x:v>ELETTROSEGHE E POTATORI</x:v>
      </x:c>
      <x:c r="H220" s="28" t="n">
        <x:v>139.3</x:v>
      </x:c>
      <x:c r="I220" s="28" t="n">
        <x:v>169.9</x:v>
      </x:c>
      <x:c r="J220" s="29" t="n">
        <x:v>22</x:v>
      </x:c>
      <x:c r="K220" s="27" t="str"/>
      <x:c r="L220" s="27" t="str"/>
      <x:c r="M220" s="27" t="str"/>
      <x:c r="N220" s="27" t="str">
        <x:v>BLACK+DECKER</x:v>
      </x:c>
      <x:c r="O220" s="27" t="str"/>
      <x:c r="P220" s="27" t="str">
        <x:v>Catalogo Black+Decker Lo Specialista 2026, pagina 106. Prezzi se presenti: raccomandati dal catalogo.</x:v>
      </x:c>
      <x:c r="Q220" s="30" t="str">
        <x:v>2026-06-10</x:v>
      </x:c>
      <x:c r="R220" s="27" t="n">
        <x:v>106</x:v>
      </x:c>
      <x:c r="S220" s="27" t="str">
        <x:v>B+D_CATALOGO Lo Specialista 2026.pdf</x:v>
      </x:c>
    </x:row>
    <x:row r="221">
      <x:c r="A221" s="27" t="str">
        <x:v>BD-0220</x:v>
      </x:c>
      <x:c r="B221" s="27" t="str">
        <x:v>5035048651384</x:v>
      </x:c>
      <x:c r="C221" s="27" t="str">
        <x:v>GKC1825LB-XJ</x:v>
      </x:c>
      <x:c r="D221" s="27" t="str">
        <x:v>Elettrosega a batteria 18V (solo corpo macchina)</x:v>
      </x:c>
      <x:c r="E221" s="27" t="str">
        <x:v>BLACK+DECKER</x:v>
      </x:c>
      <x:c r="F221" s="27" t="str">
        <x:v>GAMMA GIARDINO</x:v>
      </x:c>
      <x:c r="G221" s="27" t="str">
        <x:v>ELETTROSEGHE E POTATORI</x:v>
      </x:c>
      <x:c r="H221" s="28" t="n">
        <x:v>90.5</x:v>
      </x:c>
      <x:c r="I221" s="28" t="n">
        <x:v>110.4</x:v>
      </x:c>
      <x:c r="J221" s="29" t="n">
        <x:v>22</x:v>
      </x:c>
      <x:c r="K221" s="27" t="str"/>
      <x:c r="L221" s="27" t="str"/>
      <x:c r="M221" s="27" t="str"/>
      <x:c r="N221" s="27" t="str">
        <x:v>BLACK+DECKER</x:v>
      </x:c>
      <x:c r="O221" s="27" t="str"/>
      <x:c r="P221" s="27" t="str">
        <x:v>Catalogo Black+Decker Lo Specialista 2026, pagina 106. Prezzi se presenti: raccomandati dal catalogo.</x:v>
      </x:c>
      <x:c r="Q221" s="30" t="str">
        <x:v>2026-06-10</x:v>
      </x:c>
      <x:c r="R221" s="27" t="n">
        <x:v>106</x:v>
      </x:c>
      <x:c r="S221" s="27" t="str">
        <x:v>B+D_CATALOGO Lo Specialista 2026.pdf</x:v>
      </x:c>
    </x:row>
    <x:row r="222">
      <x:c r="A222" s="27" t="str">
        <x:v>BD-0221</x:v>
      </x:c>
      <x:c r="B222" s="27" t="str">
        <x:v>5035048480731</x:v>
      </x:c>
      <x:c r="C222" s="27" t="str">
        <x:v>GKC3630L20-QW</x:v>
      </x:c>
      <x:c r="D222" s="27" t="str">
        <x:v>Elettrosega a batteria 36V</x:v>
      </x:c>
      <x:c r="E222" s="27" t="str">
        <x:v>BLACK+DECKER</x:v>
      </x:c>
      <x:c r="F222" s="27" t="str">
        <x:v>GAMMA GIARDINO</x:v>
      </x:c>
      <x:c r="G222" s="27" t="str">
        <x:v>ELETTROSEGHE E POTATORI</x:v>
      </x:c>
      <x:c r="H222" s="28" t="n">
        <x:v>225.3</x:v>
      </x:c>
      <x:c r="I222" s="28" t="n">
        <x:v>274.9</x:v>
      </x:c>
      <x:c r="J222" s="29" t="n">
        <x:v>22</x:v>
      </x:c>
      <x:c r="K222" s="27" t="str"/>
      <x:c r="L222" s="27" t="str"/>
      <x:c r="M222" s="27" t="str"/>
      <x:c r="N222" s="27" t="str">
        <x:v>BLACK+DECKER</x:v>
      </x:c>
      <x:c r="O222" s="27" t="str"/>
      <x:c r="P222" s="27" t="str">
        <x:v>Catalogo Black+Decker Lo Specialista 2026, pagina 106. Prezzi se presenti: raccomandati dal catalogo.</x:v>
      </x:c>
      <x:c r="Q222" s="30" t="str">
        <x:v>2026-06-10</x:v>
      </x:c>
      <x:c r="R222" s="27" t="n">
        <x:v>106</x:v>
      </x:c>
      <x:c r="S222" s="27" t="str">
        <x:v>B+D_CATALOGO Lo Specialista 2026.pdf</x:v>
      </x:c>
    </x:row>
    <x:row r="223">
      <x:c r="A223" s="27" t="str">
        <x:v>BD-0222</x:v>
      </x:c>
      <x:c r="B223" s="27" t="str">
        <x:v>5035048307731</x:v>
      </x:c>
      <x:c r="C223" s="27" t="str">
        <x:v>GL250-QS</x:v>
      </x:c>
      <x:c r="D223" s="27" t="str">
        <x:v>Tagliabordi a filo 250W</x:v>
      </x:c>
      <x:c r="E223" s="27" t="str">
        <x:v>BLACK+DECKER</x:v>
      </x:c>
      <x:c r="F223" s="27" t="str">
        <x:v>GAMMA GIARDINO</x:v>
      </x:c>
      <x:c r="G223" s="27" t="str">
        <x:v>TAGLIABORDI</x:v>
      </x:c>
      <x:c r="H223" s="28" t="n">
        <x:v>24.9</x:v>
      </x:c>
      <x:c r="I223" s="28" t="n">
        <x:v>30.4</x:v>
      </x:c>
      <x:c r="J223" s="29" t="n">
        <x:v>22</x:v>
      </x:c>
      <x:c r="K223" s="27" t="str"/>
      <x:c r="L223" s="27" t="str"/>
      <x:c r="M223" s="27" t="str"/>
      <x:c r="N223" s="27" t="str">
        <x:v>BLACK+DECKER</x:v>
      </x:c>
      <x:c r="O223" s="27" t="str"/>
      <x:c r="P223" s="27" t="str">
        <x:v>Catalogo Black+Decker Lo Specialista 2026, pagina 91. Prezzi se presenti: raccomandati dal catalogo.</x:v>
      </x:c>
      <x:c r="Q223" s="30" t="str">
        <x:v>2026-06-10</x:v>
      </x:c>
      <x:c r="R223" s="27" t="n">
        <x:v>91</x:v>
      </x:c>
      <x:c r="S223" s="27" t="str">
        <x:v>B+D_CATALOGO Lo Specialista 2026.pdf</x:v>
      </x:c>
    </x:row>
    <x:row r="224">
      <x:c r="A224" s="27" t="str">
        <x:v>BD-0223</x:v>
      </x:c>
      <x:c r="B224" s="27" t="str">
        <x:v>5035048307694</x:v>
      </x:c>
      <x:c r="C224" s="27" t="str">
        <x:v>GL360-QS</x:v>
      </x:c>
      <x:c r="D224" s="27" t="str">
        <x:v>Tagliabordi a filo 350W</x:v>
      </x:c>
      <x:c r="E224" s="27" t="str">
        <x:v>BLACK+DECKER</x:v>
      </x:c>
      <x:c r="F224" s="27" t="str">
        <x:v>GAMMA GIARDINO</x:v>
      </x:c>
      <x:c r="G224" s="27" t="str">
        <x:v>TAGLIABORDI</x:v>
      </x:c>
      <x:c r="H224" s="28" t="n">
        <x:v>32.7</x:v>
      </x:c>
      <x:c r="I224" s="28" t="n">
        <x:v>39.9</x:v>
      </x:c>
      <x:c r="J224" s="29" t="n">
        <x:v>22</x:v>
      </x:c>
      <x:c r="K224" s="27" t="str"/>
      <x:c r="L224" s="27" t="str"/>
      <x:c r="M224" s="27" t="str"/>
      <x:c r="N224" s="27" t="str">
        <x:v>BLACK+DECKER</x:v>
      </x:c>
      <x:c r="O224" s="27" t="str"/>
      <x:c r="P224" s="27" t="str">
        <x:v>Catalogo Black+Decker Lo Specialista 2026, pagina 91. Prezzi se presenti: raccomandati dal catalogo.</x:v>
      </x:c>
      <x:c r="Q224" s="30" t="str">
        <x:v>2026-06-10</x:v>
      </x:c>
      <x:c r="R224" s="27" t="n">
        <x:v>91</x:v>
      </x:c>
      <x:c r="S224" s="27" t="str">
        <x:v>B+D_CATALOGO Lo Specialista 2026.pdf</x:v>
      </x:c>
    </x:row>
    <x:row r="225">
      <x:c r="A225" s="27" t="str">
        <x:v>BD-0224</x:v>
      </x:c>
      <x:c r="B225" s="27" t="str">
        <x:v>5035048435052</x:v>
      </x:c>
      <x:c r="C225" s="27" t="str">
        <x:v>GL7033-QS</x:v>
      </x:c>
      <x:c r="D225" s="27" t="str">
        <x:v>Tagliabordi a filo 700W</x:v>
      </x:c>
      <x:c r="E225" s="27" t="str">
        <x:v>BLACK+DECKER</x:v>
      </x:c>
      <x:c r="F225" s="27" t="str">
        <x:v>GAMMA GIARDINO</x:v>
      </x:c>
      <x:c r="G225" s="27" t="str">
        <x:v>TAGLIABORDI</x:v>
      </x:c>
      <x:c r="H225" s="28" t="n">
        <x:v>73.7</x:v>
      </x:c>
      <x:c r="I225" s="28" t="n">
        <x:v>89.9</x:v>
      </x:c>
      <x:c r="J225" s="29" t="n">
        <x:v>22</x:v>
      </x:c>
      <x:c r="K225" s="27" t="str"/>
      <x:c r="L225" s="27" t="str"/>
      <x:c r="M225" s="27" t="str"/>
      <x:c r="N225" s="27" t="str">
        <x:v>BLACK+DECKER</x:v>
      </x:c>
      <x:c r="O225" s="27" t="str"/>
      <x:c r="P225" s="27" t="str">
        <x:v>Catalogo Black+Decker Lo Specialista 2026, pagina 93. Prezzi se presenti: raccomandati dal catalogo.</x:v>
      </x:c>
      <x:c r="Q225" s="30" t="str">
        <x:v>2026-06-10</x:v>
      </x:c>
      <x:c r="R225" s="27" t="n">
        <x:v>93</x:v>
      </x:c>
      <x:c r="S225" s="27" t="str">
        <x:v>B+D_CATALOGO Lo Specialista 2026.pdf</x:v>
      </x:c>
    </x:row>
    <x:row r="226">
      <x:c r="A226" s="27" t="str">
        <x:v>BD-0225</x:v>
      </x:c>
      <x:c r="B226" s="27" t="str">
        <x:v>5035048435038</x:v>
      </x:c>
      <x:c r="C226" s="27" t="str">
        <x:v>GL9035-QS</x:v>
      </x:c>
      <x:c r="D226" s="27" t="str">
        <x:v>Tagliabordi a filo 900W</x:v>
      </x:c>
      <x:c r="E226" s="27" t="str">
        <x:v>BLACK+DECKER</x:v>
      </x:c>
      <x:c r="F226" s="27" t="str">
        <x:v>GAMMA GIARDINO</x:v>
      </x:c>
      <x:c r="G226" s="27" t="str">
        <x:v>TAGLIABORDI</x:v>
      </x:c>
      <x:c r="H226" s="28" t="n">
        <x:v>81.9</x:v>
      </x:c>
      <x:c r="I226" s="28" t="n">
        <x:v>99.9</x:v>
      </x:c>
      <x:c r="J226" s="29" t="n">
        <x:v>22</x:v>
      </x:c>
      <x:c r="K226" s="27" t="str"/>
      <x:c r="L226" s="27" t="str"/>
      <x:c r="M226" s="27" t="str"/>
      <x:c r="N226" s="27" t="str">
        <x:v>BLACK+DECKER</x:v>
      </x:c>
      <x:c r="O226" s="27" t="str"/>
      <x:c r="P226" s="27" t="str">
        <x:v>Catalogo Black+Decker Lo Specialista 2026, pagina 93. Prezzi se presenti: raccomandati dal catalogo.</x:v>
      </x:c>
      <x:c r="Q226" s="30" t="str">
        <x:v>2026-06-10</x:v>
      </x:c>
      <x:c r="R226" s="27" t="n">
        <x:v>93</x:v>
      </x:c>
      <x:c r="S226" s="27" t="str">
        <x:v>B+D_CATALOGO Lo Specialista 2026.pdf</x:v>
      </x:c>
    </x:row>
    <x:row r="227">
      <x:c r="A227" s="27" t="str">
        <x:v>BD-0226</x:v>
      </x:c>
      <x:c r="B227" s="27" t="str">
        <x:v>5035048470596</x:v>
      </x:c>
      <x:c r="C227" s="27" t="str">
        <x:v>GPC1820L20-QW</x:v>
      </x:c>
      <x:c r="D227" s="27" t="str">
        <x:v>Sega potatrice telescopica a batteria 18V</x:v>
      </x:c>
      <x:c r="E227" s="27" t="str">
        <x:v>BLACK+DECKER</x:v>
      </x:c>
      <x:c r="F227" s="27" t="str">
        <x:v>GAMMA GIARDINO</x:v>
      </x:c>
      <x:c r="G227" s="27" t="str">
        <x:v>ELETTROSEGHE E POTATORI</x:v>
      </x:c>
      <x:c r="H227" s="28" t="n">
        <x:v>122.9</x:v>
      </x:c>
      <x:c r="I227" s="28" t="n">
        <x:v>149.9</x:v>
      </x:c>
      <x:c r="J227" s="29" t="n">
        <x:v>22</x:v>
      </x:c>
      <x:c r="K227" s="27" t="str"/>
      <x:c r="L227" s="27" t="str"/>
      <x:c r="M227" s="27" t="str"/>
      <x:c r="N227" s="27" t="str">
        <x:v>BLACK+DECKER</x:v>
      </x:c>
      <x:c r="O227" s="27" t="str"/>
      <x:c r="P227" s="27" t="str">
        <x:v>Catalogo Black+Decker Lo Specialista 2026, pagina 107. Prezzi se presenti: raccomandati dal catalogo.</x:v>
      </x:c>
      <x:c r="Q227" s="30" t="str">
        <x:v>2026-06-10</x:v>
      </x:c>
      <x:c r="R227" s="27" t="n">
        <x:v>107</x:v>
      </x:c>
      <x:c r="S227" s="27" t="str">
        <x:v>B+D_CATALOGO Lo Specialista 2026.pdf</x:v>
      </x:c>
    </x:row>
    <x:row r="228">
      <x:c r="A228" s="27" t="str">
        <x:v>BD-0227</x:v>
      </x:c>
      <x:c r="B228" s="27" t="str">
        <x:v>5035048437827</x:v>
      </x:c>
      <x:c r="C228" s="27" t="str">
        <x:v>GPC1820LB-QW</x:v>
      </x:c>
      <x:c r="D228" s="27" t="str">
        <x:v>Sega potatrice a batteria 18V (solo corpo macchina)</x:v>
      </x:c>
      <x:c r="E228" s="27" t="str">
        <x:v>BLACK+DECKER</x:v>
      </x:c>
      <x:c r="F228" s="27" t="str">
        <x:v>GAMMA GIARDINO</x:v>
      </x:c>
      <x:c r="G228" s="27" t="str">
        <x:v>ELETTROSEGHE E POTATORI</x:v>
      </x:c>
      <x:c r="H228" s="28" t="n">
        <x:v>90.1</x:v>
      </x:c>
      <x:c r="I228" s="28" t="n">
        <x:v>109.9</x:v>
      </x:c>
      <x:c r="J228" s="29" t="n">
        <x:v>22</x:v>
      </x:c>
      <x:c r="K228" s="27" t="str"/>
      <x:c r="L228" s="27" t="str"/>
      <x:c r="M228" s="27" t="str"/>
      <x:c r="N228" s="27" t="str">
        <x:v>BLACK+DECKER</x:v>
      </x:c>
      <x:c r="O228" s="27" t="str"/>
      <x:c r="P228" s="27" t="str">
        <x:v>Catalogo Black+Decker Lo Specialista 2026, pagina 107. Prezzi se presenti: raccomandati dal catalogo.</x:v>
      </x:c>
      <x:c r="Q228" s="30" t="str">
        <x:v>2026-06-10</x:v>
      </x:c>
      <x:c r="R228" s="27" t="n">
        <x:v>107</x:v>
      </x:c>
      <x:c r="S228" s="27" t="str">
        <x:v>B+D_CATALOGO Lo Specialista 2026.pdf</x:v>
      </x:c>
    </x:row>
    <x:row r="229">
      <x:c r="A229" s="27" t="str">
        <x:v>BD-0228</x:v>
      </x:c>
      <x:c r="B229" s="27" t="str">
        <x:v>5035048290194</x:v>
      </x:c>
      <x:c r="C229" s="27" t="str">
        <x:v>GSL200-QW</x:v>
      </x:c>
      <x:c r="D229" s="27" t="str">
        <x:v>Cesoia a batteria 3.6V</x:v>
      </x:c>
      <x:c r="E229" s="27" t="str">
        <x:v>BLACK+DECKER</x:v>
      </x:c>
      <x:c r="F229" s="27" t="str">
        <x:v>GAMMA GIARDINO</x:v>
      </x:c>
      <x:c r="G229" s="27" t="str">
        <x:v>TAGLIASIEPI E CESOIE</x:v>
      </x:c>
      <x:c r="H229" s="28"/>
      <x:c r="I229" s="28" t="n">
        <x:v>49.9</x:v>
      </x:c>
      <x:c r="J229" s="29" t="n">
        <x:v>22</x:v>
      </x:c>
      <x:c r="K229" s="27" t="str"/>
      <x:c r="L229" s="27" t="str"/>
      <x:c r="M229" s="27" t="str"/>
      <x:c r="N229" s="27" t="str">
        <x:v>BLACK+DECKER</x:v>
      </x:c>
      <x:c r="O229" s="27" t="str"/>
      <x:c r="P229" s="27" t="str">
        <x:v>Catalogo Black+Decker Lo Specialista 2026, pagina 116. Prezzi se presenti: raccomandati dal catalogo.</x:v>
      </x:c>
      <x:c r="Q229" s="30" t="str">
        <x:v>2026-06-10</x:v>
      </x:c>
      <x:c r="R229" s="27" t="n">
        <x:v>116</x:v>
      </x:c>
      <x:c r="S229" s="27" t="str">
        <x:v>B+D_CATALOGO Lo Specialista 2026.pdf</x:v>
      </x:c>
    </x:row>
    <x:row r="230">
      <x:c r="A230" s="27" t="str">
        <x:v>BD-0229</x:v>
      </x:c>
      <x:c r="B230" s="27" t="str">
        <x:v>5035048290224</x:v>
      </x:c>
      <x:c r="C230" s="27" t="str">
        <x:v>GSL300-QW</x:v>
      </x:c>
      <x:c r="D230" s="27" t="str">
        <x:v>Sfoltirami a batteria 3.6V</x:v>
      </x:c>
      <x:c r="E230" s="27" t="str">
        <x:v>BLACK+DECKER</x:v>
      </x:c>
      <x:c r="F230" s="27" t="str">
        <x:v>GAMMA GIARDINO</x:v>
      </x:c>
      <x:c r="G230" s="27" t="str">
        <x:v>TAGLIASIEPI E CESOIE</x:v>
      </x:c>
      <x:c r="H230" s="28" t="n">
        <x:v>45</x:v>
      </x:c>
      <x:c r="I230" s="28" t="n">
        <x:v>54.9</x:v>
      </x:c>
      <x:c r="J230" s="29" t="n">
        <x:v>22</x:v>
      </x:c>
      <x:c r="K230" s="27" t="str"/>
      <x:c r="L230" s="27" t="str"/>
      <x:c r="M230" s="27" t="str"/>
      <x:c r="N230" s="27" t="str">
        <x:v>BLACK+DECKER</x:v>
      </x:c>
      <x:c r="O230" s="27" t="str"/>
      <x:c r="P230" s="27" t="str">
        <x:v>Catalogo Black+Decker Lo Specialista 2026, pagina 117. Prezzi se presenti: raccomandati dal catalogo.</x:v>
      </x:c>
      <x:c r="Q230" s="30" t="str">
        <x:v>2026-06-10</x:v>
      </x:c>
      <x:c r="R230" s="27" t="n">
        <x:v>117</x:v>
      </x:c>
      <x:c r="S230" s="27" t="str">
        <x:v>B+D_CATALOGO Lo Specialista 2026.pdf</x:v>
      </x:c>
    </x:row>
    <x:row r="231">
      <x:c r="A231" s="27" t="str">
        <x:v>BD-0230</x:v>
      </x:c>
      <x:c r="B231" s="27" t="str">
        <x:v>5035048470633</x:v>
      </x:c>
      <x:c r="C231" s="27" t="str">
        <x:v>GTC1843L20-QW</x:v>
      </x:c>
      <x:c r="D231" s="27" t="str">
        <x:v>Tagliasiepi a batteria 18V</x:v>
      </x:c>
      <x:c r="E231" s="27" t="str">
        <x:v>BLACK+DECKER</x:v>
      </x:c>
      <x:c r="F231" s="27" t="str">
        <x:v>GAMMA GIARDINO</x:v>
      </x:c>
      <x:c r="G231" s="27" t="str">
        <x:v>TAGLIASIEPI E CESOIE</x:v>
      </x:c>
      <x:c r="H231" s="28" t="n">
        <x:v>122.8</x:v>
      </x:c>
      <x:c r="I231" s="28" t="n">
        <x:v>149.8</x:v>
      </x:c>
      <x:c r="J231" s="29" t="n">
        <x:v>22</x:v>
      </x:c>
      <x:c r="K231" s="27" t="str"/>
      <x:c r="L231" s="27" t="str"/>
      <x:c r="M231" s="27" t="str"/>
      <x:c r="N231" s="27" t="str">
        <x:v>BLACK+DECKER</x:v>
      </x:c>
      <x:c r="O231" s="27" t="str"/>
      <x:c r="P231" s="27" t="str">
        <x:v>Catalogo Black+Decker Lo Specialista 2026, pagina 114. Prezzi se presenti: raccomandati dal catalogo.</x:v>
      </x:c>
      <x:c r="Q231" s="30" t="str">
        <x:v>2026-06-10</x:v>
      </x:c>
      <x:c r="R231" s="27" t="n">
        <x:v>114</x:v>
      </x:c>
      <x:c r="S231" s="27" t="str">
        <x:v>B+D_CATALOGO Lo Specialista 2026.pdf</x:v>
      </x:c>
    </x:row>
    <x:row r="232">
      <x:c r="A232" s="27" t="str">
        <x:v>BD-0231</x:v>
      </x:c>
      <x:c r="B232" s="27" t="str">
        <x:v>5035048437834</x:v>
      </x:c>
      <x:c r="C232" s="27" t="str">
        <x:v>GTC1843LB-QW</x:v>
      </x:c>
      <x:c r="D232" s="27" t="str">
        <x:v>Tagliasiepi a batteria 18V (solo corpo macchina)</x:v>
      </x:c>
      <x:c r="E232" s="27" t="str">
        <x:v>BLACK+DECKER</x:v>
      </x:c>
      <x:c r="F232" s="27" t="str">
        <x:v>GAMMA GIARDINO</x:v>
      </x:c>
      <x:c r="G232" s="27" t="str">
        <x:v>TAGLIASIEPI E CESOIE</x:v>
      </x:c>
      <x:c r="H232" s="28" t="n">
        <x:v>90.1</x:v>
      </x:c>
      <x:c r="I232" s="28" t="n">
        <x:v>109.9</x:v>
      </x:c>
      <x:c r="J232" s="29" t="n">
        <x:v>22</x:v>
      </x:c>
      <x:c r="K232" s="27" t="str"/>
      <x:c r="L232" s="27" t="str"/>
      <x:c r="M232" s="27" t="str"/>
      <x:c r="N232" s="27" t="str">
        <x:v>BLACK+DECKER</x:v>
      </x:c>
      <x:c r="O232" s="27" t="str"/>
      <x:c r="P232" s="27" t="str">
        <x:v>Catalogo Black+Decker Lo Specialista 2026, pagina 114. Prezzi se presenti: raccomandati dal catalogo.</x:v>
      </x:c>
      <x:c r="Q232" s="30" t="str">
        <x:v>2026-06-10</x:v>
      </x:c>
      <x:c r="R232" s="27" t="n">
        <x:v>114</x:v>
      </x:c>
      <x:c r="S232" s="27" t="str">
        <x:v>B+D_CATALOGO Lo Specialista 2026.pdf</x:v>
      </x:c>
    </x:row>
    <x:row r="233">
      <x:c r="A233" s="27" t="str">
        <x:v>BD-0232</x:v>
      </x:c>
      <x:c r="B233" s="27" t="str">
        <x:v>5035048651261</x:v>
      </x:c>
      <x:c r="C233" s="27" t="str">
        <x:v>GTC18452PCB-XJ</x:v>
      </x:c>
      <x:c r="D233" s="27" t="str">
        <x:v>Tagliasiepi a batteria 18V (solo corpo macchina)</x:v>
      </x:c>
      <x:c r="E233" s="27" t="str">
        <x:v>BLACK+DECKER</x:v>
      </x:c>
      <x:c r="F233" s="27" t="str">
        <x:v>GAMMA GIARDINO</x:v>
      </x:c>
      <x:c r="G233" s="27" t="str">
        <x:v>TAGLIASIEPI E CESOIE</x:v>
      </x:c>
      <x:c r="H233" s="28" t="n">
        <x:v>73.7</x:v>
      </x:c>
      <x:c r="I233" s="28" t="n">
        <x:v>89.9</x:v>
      </x:c>
      <x:c r="J233" s="29" t="n">
        <x:v>22</x:v>
      </x:c>
      <x:c r="K233" s="27" t="str"/>
      <x:c r="L233" s="27" t="str"/>
      <x:c r="M233" s="27" t="str"/>
      <x:c r="N233" s="27" t="str">
        <x:v>BLACK+DECKER</x:v>
      </x:c>
      <x:c r="O233" s="27" t="str"/>
      <x:c r="P233" s="27" t="str">
        <x:v>Catalogo Black+Decker Lo Specialista 2026, pagina 113. Prezzi se presenti: raccomandati dal catalogo.</x:v>
      </x:c>
      <x:c r="Q233" s="30" t="str">
        <x:v>2026-06-10</x:v>
      </x:c>
      <x:c r="R233" s="27" t="n">
        <x:v>113</x:v>
      </x:c>
      <x:c r="S233" s="27" t="str">
        <x:v>B+D_CATALOGO Lo Specialista 2026.pdf</x:v>
      </x:c>
    </x:row>
    <x:row r="234">
      <x:c r="A234" s="27" t="str">
        <x:v>BD-0233</x:v>
      </x:c>
      <x:c r="B234" s="27" t="str">
        <x:v>5035048554128</x:v>
      </x:c>
      <x:c r="C234" s="27" t="str">
        <x:v>GTC1845L20-QW</x:v>
      </x:c>
      <x:c r="D234" s="27" t="str">
        <x:v>Tagliasiepi a batteria 18V</x:v>
      </x:c>
      <x:c r="E234" s="27" t="str">
        <x:v>BLACK+DECKER</x:v>
      </x:c>
      <x:c r="F234" s="27" t="str">
        <x:v>GAMMA GIARDINO</x:v>
      </x:c>
      <x:c r="G234" s="27" t="str">
        <x:v>TAGLIASIEPI E CESOIE</x:v>
      </x:c>
      <x:c r="H234" s="28" t="n">
        <x:v>90.1</x:v>
      </x:c>
      <x:c r="I234" s="28" t="n">
        <x:v>109.9</x:v>
      </x:c>
      <x:c r="J234" s="29" t="n">
        <x:v>22</x:v>
      </x:c>
      <x:c r="K234" s="27" t="str"/>
      <x:c r="L234" s="27" t="str"/>
      <x:c r="M234" s="27" t="str"/>
      <x:c r="N234" s="27" t="str">
        <x:v>BLACK+DECKER</x:v>
      </x:c>
      <x:c r="O234" s="27" t="str"/>
      <x:c r="P234" s="27" t="str">
        <x:v>Catalogo Black+Decker Lo Specialista 2026, pagina 114. Prezzi se presenti: raccomandati dal catalogo.</x:v>
      </x:c>
      <x:c r="Q234" s="30" t="str">
        <x:v>2026-06-10</x:v>
      </x:c>
      <x:c r="R234" s="27" t="n">
        <x:v>114</x:v>
      </x:c>
      <x:c r="S234" s="27" t="str">
        <x:v>B+D_CATALOGO Lo Specialista 2026.pdf</x:v>
      </x:c>
    </x:row>
    <x:row r="235">
      <x:c r="A235" s="27" t="str">
        <x:v>BD-0234</x:v>
      </x:c>
      <x:c r="B235" s="27" t="str">
        <x:v>5035048639986</x:v>
      </x:c>
      <x:c r="C235" s="27" t="str">
        <x:v>GTC18504PC-QW</x:v>
      </x:c>
      <x:c r="D235" s="27" t="str">
        <x:v>Tagliasiepi a batteria 18V</x:v>
      </x:c>
      <x:c r="E235" s="27" t="str">
        <x:v>BLACK+DECKER</x:v>
      </x:c>
      <x:c r="F235" s="27" t="str">
        <x:v>GAMMA GIARDINO</x:v>
      </x:c>
      <x:c r="G235" s="27" t="str">
        <x:v>TAGLIASIEPI E CESOIE</x:v>
      </x:c>
      <x:c r="H235" s="28" t="n">
        <x:v>151.5</x:v>
      </x:c>
      <x:c r="I235" s="28" t="n">
        <x:v>184.8</x:v>
      </x:c>
      <x:c r="J235" s="29" t="n">
        <x:v>22</x:v>
      </x:c>
      <x:c r="K235" s="27" t="str"/>
      <x:c r="L235" s="27" t="str"/>
      <x:c r="M235" s="27" t="str"/>
      <x:c r="N235" s="27" t="str">
        <x:v>BLACK+DECKER</x:v>
      </x:c>
      <x:c r="O235" s="27" t="str"/>
      <x:c r="P235" s="27" t="str">
        <x:v>Catalogo Black+Decker Lo Specialista 2026, pagina 115. Prezzi se presenti: raccomandati dal catalogo.</x:v>
      </x:c>
      <x:c r="Q235" s="30" t="str">
        <x:v>2026-06-10</x:v>
      </x:c>
      <x:c r="R235" s="27" t="n">
        <x:v>115</x:v>
      </x:c>
      <x:c r="S235" s="27" t="str">
        <x:v>B+D_CATALOGO Lo Specialista 2026.pdf</x:v>
      </x:c>
    </x:row>
    <x:row r="236">
      <x:c r="A236" s="27" t="str">
        <x:v>BD-0235</x:v>
      </x:c>
      <x:c r="B236" s="27" t="str">
        <x:v>5035048640029</x:v>
      </x:c>
      <x:c r="C236" s="27" t="str">
        <x:v>GWC1820PC-QW</x:v>
      </x:c>
      <x:c r="D236" s="27" t="str">
        <x:v>Soffiatore Assiale a batteria 18V</x:v>
      </x:c>
      <x:c r="E236" s="27" t="str">
        <x:v>BLACK+DECKER</x:v>
      </x:c>
      <x:c r="F236" s="27" t="str">
        <x:v>GAMMA GIARDINO</x:v>
      </x:c>
      <x:c r="G236" s="27" t="str">
        <x:v>SOFFIATORI</x:v>
      </x:c>
      <x:c r="H236" s="28" t="n">
        <x:v>73.7</x:v>
      </x:c>
      <x:c r="I236" s="28" t="n">
        <x:v>89.9</x:v>
      </x:c>
      <x:c r="J236" s="29" t="n">
        <x:v>22</x:v>
      </x:c>
      <x:c r="K236" s="27" t="str"/>
      <x:c r="L236" s="27" t="str"/>
      <x:c r="M236" s="27" t="str"/>
      <x:c r="N236" s="27" t="str">
        <x:v>BLACK+DECKER</x:v>
      </x:c>
      <x:c r="O236" s="27" t="str"/>
      <x:c r="P236" s="27" t="str">
        <x:v>Catalogo Black+Decker Lo Specialista 2026, pagina 101. Prezzi se presenti: raccomandati dal catalogo.</x:v>
      </x:c>
      <x:c r="Q236" s="30" t="str">
        <x:v>2026-06-10</x:v>
      </x:c>
      <x:c r="R236" s="27" t="n">
        <x:v>101</x:v>
      </x:c>
      <x:c r="S236" s="27" t="str">
        <x:v>B+D_CATALOGO Lo Specialista 2026.pdf</x:v>
      </x:c>
    </x:row>
    <x:row r="237">
      <x:c r="A237" s="27" t="str">
        <x:v>BD-0236</x:v>
      </x:c>
      <x:c r="B237" s="27" t="str">
        <x:v>5035048651292</x:v>
      </x:c>
      <x:c r="C237" s="27" t="str">
        <x:v>GWC1820PCB-XJ</x:v>
      </x:c>
      <x:c r="D237" s="27" t="str">
        <x:v>Soffiatore Assiale a batteria 18V (solo corpo macchina)</x:v>
      </x:c>
      <x:c r="E237" s="27" t="str">
        <x:v>BLACK+DECKER</x:v>
      </x:c>
      <x:c r="F237" s="27" t="str">
        <x:v>GAMMA GIARDINO</x:v>
      </x:c>
      <x:c r="G237" s="27" t="str">
        <x:v>SOFFIATORI</x:v>
      </x:c>
      <x:c r="H237" s="28" t="n">
        <x:v>49.1</x:v>
      </x:c>
      <x:c r="I237" s="28" t="n">
        <x:v>59.9</x:v>
      </x:c>
      <x:c r="J237" s="29" t="n">
        <x:v>22</x:v>
      </x:c>
      <x:c r="K237" s="27" t="str"/>
      <x:c r="L237" s="27" t="str"/>
      <x:c r="M237" s="27" t="str"/>
      <x:c r="N237" s="27" t="str">
        <x:v>BLACK+DECKER</x:v>
      </x:c>
      <x:c r="O237" s="27" t="str"/>
      <x:c r="P237" s="27" t="str">
        <x:v>Catalogo Black+Decker Lo Specialista 2026, pagina 101. Prezzi se presenti: raccomandati dal catalogo.</x:v>
      </x:c>
      <x:c r="Q237" s="30" t="str">
        <x:v>2026-06-10</x:v>
      </x:c>
      <x:c r="R237" s="27" t="n">
        <x:v>101</x:v>
      </x:c>
      <x:c r="S237" s="27" t="str">
        <x:v>B+D_CATALOGO Lo Specialista 2026.pdf</x:v>
      </x:c>
    </x:row>
    <x:row r="238">
      <x:c r="A238" s="27" t="str">
        <x:v>BD-0237</x:v>
      </x:c>
      <x:c r="B238" s="27" t="str">
        <x:v>5035048340790</x:v>
      </x:c>
      <x:c r="C238" s="27" t="str">
        <x:v>HVLP200C-IT</x:v>
      </x:c>
      <x:c r="D238" s="27" t="str">
        <x:v>Pistola a spruzzo 400W</x:v>
      </x:c>
      <x:c r="E238" s="27" t="str">
        <x:v>BLACK+DECKER</x:v>
      </x:c>
      <x:c r="F238" s="27" t="str">
        <x:v>ELETTROUTENSILI</x:v>
      </x:c>
      <x:c r="G238" s="27" t="str">
        <x:v>FINITURA INTERNI E PITTURA</x:v>
      </x:c>
      <x:c r="H238" s="28" t="n">
        <x:v>57.3</x:v>
      </x:c>
      <x:c r="I238" s="28" t="n">
        <x:v>69.9</x:v>
      </x:c>
      <x:c r="J238" s="29" t="n">
        <x:v>22</x:v>
      </x:c>
      <x:c r="K238" s="27" t="str"/>
      <x:c r="L238" s="27" t="str"/>
      <x:c r="M238" s="27" t="str"/>
      <x:c r="N238" s="27" t="str">
        <x:v>BLACK+DECKER</x:v>
      </x:c>
      <x:c r="O238" s="27" t="str"/>
      <x:c r="P238" s="27" t="str">
        <x:v>Catalogo Black+Decker Lo Specialista 2026, pagina 66. Prezzi se presenti: raccomandati dal catalogo.</x:v>
      </x:c>
      <x:c r="Q238" s="30" t="str">
        <x:v>2026-06-10</x:v>
      </x:c>
      <x:c r="R238" s="27" t="n">
        <x:v>66</x:v>
      </x:c>
      <x:c r="S238" s="27" t="str">
        <x:v>B+D_CATALOGO Lo Specialista 2026.pdf</x:v>
      </x:c>
    </x:row>
    <x:row r="239">
      <x:c r="A239" s="27" t="str">
        <x:v>BD-0238</x:v>
      </x:c>
      <x:c r="B239" s="27" t="str">
        <x:v>5035048335321</x:v>
      </x:c>
      <x:c r="C239" s="27" t="str">
        <x:v>HVLP400C-IT</x:v>
      </x:c>
      <x:c r="D239" s="27" t="str">
        <x:v>Pistola a spruzzo 450W</x:v>
      </x:c>
      <x:c r="E239" s="27" t="str">
        <x:v>BLACK+DECKER</x:v>
      </x:c>
      <x:c r="F239" s="27" t="str">
        <x:v>ELETTROUTENSILI</x:v>
      </x:c>
      <x:c r="G239" s="27" t="str">
        <x:v>FINITURA INTERNI E PITTURA</x:v>
      </x:c>
      <x:c r="H239" s="28" t="n">
        <x:v>81.9</x:v>
      </x:c>
      <x:c r="I239" s="28" t="n">
        <x:v>99.9</x:v>
      </x:c>
      <x:c r="J239" s="29" t="n">
        <x:v>22</x:v>
      </x:c>
      <x:c r="K239" s="27" t="str"/>
      <x:c r="L239" s="27" t="str"/>
      <x:c r="M239" s="27" t="str"/>
      <x:c r="N239" s="27" t="str">
        <x:v>BLACK+DECKER</x:v>
      </x:c>
      <x:c r="O239" s="27" t="str"/>
      <x:c r="P239" s="27" t="str">
        <x:v>Catalogo Black+Decker Lo Specialista 2026, pagina 66. Prezzi se presenti: raccomandati dal catalogo.</x:v>
      </x:c>
      <x:c r="Q239" s="30" t="str">
        <x:v>2026-06-10</x:v>
      </x:c>
      <x:c r="R239" s="27" t="n">
        <x:v>66</x:v>
      </x:c>
      <x:c r="S239" s="27" t="str">
        <x:v>B+D_CATALOGO Lo Specialista 2026.pdf</x:v>
      </x:c>
    </x:row>
    <x:row r="240">
      <x:c r="A240" s="27" t="str">
        <x:v>BD-0239</x:v>
      </x:c>
      <x:c r="B240" s="27" t="str">
        <x:v>5035048129845</x:v>
      </x:c>
      <x:c r="C240" s="27" t="str">
        <x:v>KA191EK-QS</x:v>
      </x:c>
      <x:c r="D240" s="27" t="str">
        <x:v>Levigatrice rotorbitale a filo 480W</x:v>
      </x:c>
      <x:c r="E240" s="27" t="str">
        <x:v>BLACK+DECKER</x:v>
      </x:c>
      <x:c r="F240" s="27" t="str">
        <x:v>ELETTROUTENSILI</x:v>
      </x:c>
      <x:c r="G240" s="27" t="str">
        <x:v>LEVIGATRICI</x:v>
      </x:c>
      <x:c r="H240" s="28" t="n">
        <x:v>65.5</x:v>
      </x:c>
      <x:c r="I240" s="28" t="n">
        <x:v>79.9</x:v>
      </x:c>
      <x:c r="J240" s="29" t="n">
        <x:v>22</x:v>
      </x:c>
      <x:c r="K240" s="27" t="str"/>
      <x:c r="L240" s="27" t="str"/>
      <x:c r="M240" s="27" t="str"/>
      <x:c r="N240" s="27" t="str">
        <x:v>BLACK+DECKER</x:v>
      </x:c>
      <x:c r="O240" s="27" t="str"/>
      <x:c r="P240" s="27" t="str">
        <x:v>Catalogo Black+Decker Lo Specialista 2026, pagina 46. Prezzi se presenti: raccomandati dal catalogo.</x:v>
      </x:c>
      <x:c r="Q240" s="30" t="str">
        <x:v>2026-06-10</x:v>
      </x:c>
      <x:c r="R240" s="27" t="n">
        <x:v>46</x:v>
      </x:c>
      <x:c r="S240" s="27" t="str">
        <x:v>B+D_CATALOGO Lo Specialista 2026.pdf</x:v>
      </x:c>
    </x:row>
    <x:row r="241">
      <x:c r="A241" s="27" t="str">
        <x:v>BD-0240</x:v>
      </x:c>
      <x:c r="B241" s="27" t="str">
        <x:v>5035048561379</x:v>
      </x:c>
      <x:c r="C241" s="27" t="str">
        <x:v>KA199-QS</x:v>
      </x:c>
      <x:c r="D241" s="27" t="str">
        <x:v>Levigatrice rotorbitale a filo 240W</x:v>
      </x:c>
      <x:c r="E241" s="27" t="str">
        <x:v>BLACK+DECKER</x:v>
      </x:c>
      <x:c r="F241" s="27" t="str">
        <x:v>ELETTROUTENSILI</x:v>
      </x:c>
      <x:c r="G241" s="27" t="str">
        <x:v>LEVIGATRICI</x:v>
      </x:c>
      <x:c r="H241" s="28" t="n">
        <x:v>49.1</x:v>
      </x:c>
      <x:c r="I241" s="28" t="n">
        <x:v>59.9</x:v>
      </x:c>
      <x:c r="J241" s="29" t="n">
        <x:v>22</x:v>
      </x:c>
      <x:c r="K241" s="27" t="str"/>
      <x:c r="L241" s="27" t="str"/>
      <x:c r="M241" s="27" t="str"/>
      <x:c r="N241" s="27" t="str">
        <x:v>BLACK+DECKER</x:v>
      </x:c>
      <x:c r="O241" s="27" t="str"/>
      <x:c r="P241" s="27" t="str">
        <x:v>Catalogo Black+Decker Lo Specialista 2026, pagina 46. Prezzi se presenti: raccomandati dal catalogo.</x:v>
      </x:c>
      <x:c r="Q241" s="30" t="str">
        <x:v>2026-06-10</x:v>
      </x:c>
      <x:c r="R241" s="27" t="n">
        <x:v>46</x:v>
      </x:c>
      <x:c r="S241" s="27" t="str">
        <x:v>B+D_CATALOGO Lo Specialista 2026.pdf</x:v>
      </x:c>
    </x:row>
    <x:row r="242">
      <x:c r="A242" s="27" t="str">
        <x:v>BD-0241</x:v>
      </x:c>
      <x:c r="B242" s="27" t="str">
        <x:v>5035048465974</x:v>
      </x:c>
      <x:c r="C242" s="27" t="str">
        <x:v>KA2000-QS</x:v>
      </x:c>
      <x:c r="D242" s="27" t="str">
        <x:v>Levigatrice Mouse® 120W</x:v>
      </x:c>
      <x:c r="E242" s="27" t="str">
        <x:v>BLACK+DECKER</x:v>
      </x:c>
      <x:c r="F242" s="27" t="str">
        <x:v>ELETTROUTENSILI</x:v>
      </x:c>
      <x:c r="G242" s="27" t="str">
        <x:v>LEVIGATRICI</x:v>
      </x:c>
      <x:c r="H242" s="28" t="n">
        <x:v>37.7</x:v>
      </x:c>
      <x:c r="I242" s="28" t="n">
        <x:v>46</x:v>
      </x:c>
      <x:c r="J242" s="29" t="n">
        <x:v>22</x:v>
      </x:c>
      <x:c r="K242" s="27" t="str"/>
      <x:c r="L242" s="27" t="str"/>
      <x:c r="M242" s="27" t="str"/>
      <x:c r="N242" s="27" t="str">
        <x:v>BLACK+DECKER</x:v>
      </x:c>
      <x:c r="O242" s="27" t="str"/>
      <x:c r="P242" s="27" t="str">
        <x:v>Catalogo Black+Decker Lo Specialista 2026, pagina 42. Prezzi se presenti: raccomandati dal catalogo.</x:v>
      </x:c>
      <x:c r="Q242" s="30" t="str">
        <x:v>2026-06-10</x:v>
      </x:c>
      <x:c r="R242" s="27" t="n">
        <x:v>42</x:v>
      </x:c>
      <x:c r="S242" s="27" t="str">
        <x:v>B+D_CATALOGO Lo Specialista 2026.pdf</x:v>
      </x:c>
    </x:row>
    <x:row r="243">
      <x:c r="A243" s="27" t="str">
        <x:v>BD-0242</x:v>
      </x:c>
      <x:c r="B243" s="27" t="str">
        <x:v>5035048203330</x:v>
      </x:c>
      <x:c r="C243" s="27" t="str">
        <x:v>KA320E-QS</x:v>
      </x:c>
      <x:c r="D243" s="27" t="str">
        <x:v>Levigatrice orbitale a filo 240W da 1/3 di foglio</x:v>
      </x:c>
      <x:c r="E243" s="27" t="str">
        <x:v>BLACK+DECKER</x:v>
      </x:c>
      <x:c r="F243" s="27" t="str">
        <x:v>ELETTROUTENSILI</x:v>
      </x:c>
      <x:c r="G243" s="27" t="str">
        <x:v>LEVIGATRICI</x:v>
      </x:c>
      <x:c r="H243" s="28" t="n">
        <x:v>40.9</x:v>
      </x:c>
      <x:c r="I243" s="28" t="n">
        <x:v>49.9</x:v>
      </x:c>
      <x:c r="J243" s="29" t="n">
        <x:v>22</x:v>
      </x:c>
      <x:c r="K243" s="27" t="str"/>
      <x:c r="L243" s="27" t="str"/>
      <x:c r="M243" s="27" t="str"/>
      <x:c r="N243" s="27" t="str">
        <x:v>BLACK+DECKER</x:v>
      </x:c>
      <x:c r="O243" s="27" t="str"/>
      <x:c r="P243" s="27" t="str">
        <x:v>Catalogo Black+Decker Lo Specialista 2026, pagina 45. Prezzi se presenti: raccomandati dal catalogo.</x:v>
      </x:c>
      <x:c r="Q243" s="30" t="str">
        <x:v>2026-06-10</x:v>
      </x:c>
      <x:c r="R243" s="27" t="n">
        <x:v>45</x:v>
      </x:c>
      <x:c r="S243" s="27" t="str">
        <x:v>B+D_CATALOGO Lo Specialista 2026.pdf</x:v>
      </x:c>
    </x:row>
    <x:row r="244">
      <x:c r="A244" s="27" t="str">
        <x:v>BD-0243</x:v>
      </x:c>
      <x:c r="B244" s="27" t="str">
        <x:v>5035048203378</x:v>
      </x:c>
      <x:c r="C244" s="27" t="str">
        <x:v>KA320EKA-QS</x:v>
      </x:c>
      <x:c r="D244" s="27" t="str">
        <x:v>Levigatrice orbitale a filo 240W da 1/3 di foglio in valigetta</x:v>
      </x:c>
      <x:c r="E244" s="27" t="str">
        <x:v>BLACK+DECKER</x:v>
      </x:c>
      <x:c r="F244" s="27" t="str">
        <x:v>ELETTROUTENSILI</x:v>
      </x:c>
      <x:c r="G244" s="27" t="str">
        <x:v>LEVIGATRICI</x:v>
      </x:c>
      <x:c r="H244" s="28" t="n">
        <x:v>49.1</x:v>
      </x:c>
      <x:c r="I244" s="28" t="n">
        <x:v>59.9</x:v>
      </x:c>
      <x:c r="J244" s="29" t="n">
        <x:v>22</x:v>
      </x:c>
      <x:c r="K244" s="27" t="str"/>
      <x:c r="L244" s="27" t="str"/>
      <x:c r="M244" s="27" t="str"/>
      <x:c r="N244" s="27" t="str">
        <x:v>BLACK+DECKER</x:v>
      </x:c>
      <x:c r="O244" s="27" t="str"/>
      <x:c r="P244" s="27" t="str">
        <x:v>Catalogo Black+Decker Lo Specialista 2026, pagina 45. Prezzi se presenti: raccomandati dal catalogo.</x:v>
      </x:c>
      <x:c r="Q244" s="30" t="str">
        <x:v>2026-06-10</x:v>
      </x:c>
      <x:c r="R244" s="27" t="n">
        <x:v>45</x:v>
      </x:c>
      <x:c r="S244" s="27" t="str">
        <x:v>B+D_CATALOGO Lo Specialista 2026.pdf</x:v>
      </x:c>
    </x:row>
    <x:row r="245">
      <x:c r="A245" s="27" t="str">
        <x:v>BD-0244</x:v>
      </x:c>
      <x:c r="B245" s="27" t="str">
        <x:v>5035048658505</x:v>
      </x:c>
      <x:c r="C245" s="27" t="str">
        <x:v>KA401LA-QS</x:v>
      </x:c>
      <x:c r="D245" s="27" t="str">
        <x:v>Levigatrice orbitale a filo 170W da 1/4 di foglio</x:v>
      </x:c>
      <x:c r="E245" s="27" t="str">
        <x:v>BLACK+DECKER</x:v>
      </x:c>
      <x:c r="F245" s="27" t="str">
        <x:v>ELETTROUTENSILI</x:v>
      </x:c>
      <x:c r="G245" s="27" t="str">
        <x:v>LEVIGATRICI</x:v>
      </x:c>
      <x:c r="H245" s="28" t="n">
        <x:v>57.5</x:v>
      </x:c>
      <x:c r="I245" s="28" t="n">
        <x:v>70.2</x:v>
      </x:c>
      <x:c r="J245" s="29" t="n">
        <x:v>22</x:v>
      </x:c>
      <x:c r="K245" s="27" t="str"/>
      <x:c r="L245" s="27" t="str"/>
      <x:c r="M245" s="27" t="str"/>
      <x:c r="N245" s="27" t="str">
        <x:v>BLACK+DECKER</x:v>
      </x:c>
      <x:c r="O245" s="27" t="str"/>
      <x:c r="P245" s="27" t="str">
        <x:v>Catalogo Black+Decker Lo Specialista 2026, pagina 44. Prezzi se presenti: raccomandati dal catalogo.</x:v>
      </x:c>
      <x:c r="Q245" s="30" t="str">
        <x:v>2026-06-10</x:v>
      </x:c>
      <x:c r="R245" s="27" t="n">
        <x:v>44</x:v>
      </x:c>
      <x:c r="S245" s="27" t="str">
        <x:v>B+D_CATALOGO Lo Specialista 2026.pdf</x:v>
      </x:c>
    </x:row>
    <x:row r="246">
      <x:c r="A246" s="27" t="str">
        <x:v>BD-0245</x:v>
      </x:c>
      <x:c r="B246" s="27" t="str">
        <x:v>5035048175163</x:v>
      </x:c>
      <x:c r="C246" s="27" t="str">
        <x:v>KA86-QS</x:v>
      </x:c>
      <x:c r="D246" s="27" t="str">
        <x:v>Levigatrice a nastro 720W</x:v>
      </x:c>
      <x:c r="E246" s="27" t="str">
        <x:v>BLACK+DECKER</x:v>
      </x:c>
      <x:c r="F246" s="27" t="str">
        <x:v>ELETTROUTENSILI</x:v>
      </x:c>
      <x:c r="G246" s="27" t="str">
        <x:v>LEVIGATRICI</x:v>
      </x:c>
      <x:c r="H246" s="28" t="n">
        <x:v>57.3</x:v>
      </x:c>
      <x:c r="I246" s="28" t="n">
        <x:v>69.9</x:v>
      </x:c>
      <x:c r="J246" s="29" t="n">
        <x:v>22</x:v>
      </x:c>
      <x:c r="K246" s="27" t="str"/>
      <x:c r="L246" s="27" t="str"/>
      <x:c r="M246" s="27" t="str"/>
      <x:c r="N246" s="27" t="str">
        <x:v>BLACK+DECKER</x:v>
      </x:c>
      <x:c r="O246" s="27" t="str"/>
      <x:c r="P246" s="27" t="str">
        <x:v>Catalogo Black+Decker Lo Specialista 2026, pagina 47. Prezzi se presenti: raccomandati dal catalogo.</x:v>
      </x:c>
      <x:c r="Q246" s="30" t="str">
        <x:v>2026-06-10</x:v>
      </x:c>
      <x:c r="R246" s="27" t="n">
        <x:v>47</x:v>
      </x:c>
      <x:c r="S246" s="27" t="str">
        <x:v>B+D_CATALOGO Lo Specialista 2026.pdf</x:v>
      </x:c>
    </x:row>
    <x:row r="247">
      <x:c r="A247" s="27" t="str">
        <x:v>BD-0246</x:v>
      </x:c>
      <x:c r="B247" s="27" t="str">
        <x:v>5035048128718</x:v>
      </x:c>
      <x:c r="C247" s="27" t="str">
        <x:v>KA88-QS</x:v>
      </x:c>
      <x:c r="D247" s="27" t="str">
        <x:v>Levigatrice a nastro 720W</x:v>
      </x:c>
      <x:c r="E247" s="27" t="str">
        <x:v>BLACK+DECKER</x:v>
      </x:c>
      <x:c r="F247" s="27" t="str">
        <x:v>ELETTROUTENSILI</x:v>
      </x:c>
      <x:c r="G247" s="27" t="str">
        <x:v>LEVIGATRICI</x:v>
      </x:c>
      <x:c r="H247" s="28" t="n">
        <x:v>81.9</x:v>
      </x:c>
      <x:c r="I247" s="28" t="n">
        <x:v>99.9</x:v>
      </x:c>
      <x:c r="J247" s="29" t="n">
        <x:v>22</x:v>
      </x:c>
      <x:c r="K247" s="27" t="str"/>
      <x:c r="L247" s="27" t="str"/>
      <x:c r="M247" s="27" t="str"/>
      <x:c r="N247" s="27" t="str">
        <x:v>BLACK+DECKER</x:v>
      </x:c>
      <x:c r="O247" s="27" t="str"/>
      <x:c r="P247" s="27" t="str">
        <x:v>Catalogo Black+Decker Lo Specialista 2026, pagina 48. Prezzi se presenti: raccomandati dal catalogo.</x:v>
      </x:c>
      <x:c r="Q247" s="30" t="str">
        <x:v>2026-06-10</x:v>
      </x:c>
      <x:c r="R247" s="27" t="n">
        <x:v>48</x:v>
      </x:c>
      <x:c r="S247" s="27" t="str">
        <x:v>B+D_CATALOGO Lo Specialista 2026.pdf</x:v>
      </x:c>
    </x:row>
    <x:row r="248">
      <x:c r="A248" s="27" t="str">
        <x:v>BD-0247</x:v>
      </x:c>
      <x:c r="B248" s="27" t="str">
        <x:v>5035048175187</x:v>
      </x:c>
      <x:c r="C248" s="27" t="str">
        <x:v>KA900E-QS</x:v>
      </x:c>
      <x:c r="D248" s="27" t="str">
        <x:v>Lima elettrica 350W</x:v>
      </x:c>
      <x:c r="E248" s="27" t="str">
        <x:v>BLACK+DECKER</x:v>
      </x:c>
      <x:c r="F248" s="27" t="str">
        <x:v>ELETTROUTENSILI</x:v>
      </x:c>
      <x:c r="G248" s="27" t="str">
        <x:v>LEVIGATRICI</x:v>
      </x:c>
      <x:c r="H248" s="28" t="n">
        <x:v>65.5</x:v>
      </x:c>
      <x:c r="I248" s="28" t="n">
        <x:v>79.9</x:v>
      </x:c>
      <x:c r="J248" s="29" t="n">
        <x:v>22</x:v>
      </x:c>
      <x:c r="K248" s="27" t="str"/>
      <x:c r="L248" s="27" t="str"/>
      <x:c r="M248" s="27" t="str"/>
      <x:c r="N248" s="27" t="str">
        <x:v>BLACK+DECKER</x:v>
      </x:c>
      <x:c r="O248" s="27" t="str"/>
      <x:c r="P248" s="27" t="str">
        <x:v>Catalogo Black+Decker Lo Specialista 2026, pagina 48. Prezzi se presenti: raccomandati dal catalogo.</x:v>
      </x:c>
      <x:c r="Q248" s="30" t="str">
        <x:v>2026-06-10</x:v>
      </x:c>
      <x:c r="R248" s="27" t="n">
        <x:v>48</x:v>
      </x:c>
      <x:c r="S248" s="27" t="str">
        <x:v>B+D_CATALOGO Lo Specialista 2026.pdf</x:v>
      </x:c>
    </x:row>
    <x:row r="249">
      <x:c r="A249" s="27" t="str">
        <x:v>BD-0248</x:v>
      </x:c>
      <x:c r="B249" s="27" t="str">
        <x:v>5035048638033</x:v>
      </x:c>
      <x:c r="C249" s="27" t="str">
        <x:v>KG1202-QS</x:v>
      </x:c>
      <x:c r="D249" s="27" t="str">
        <x:v>Smerigliatrice angolare 1200W - 125/115mm</x:v>
      </x:c>
      <x:c r="E249" s="27" t="str">
        <x:v>BLACK+DECKER</x:v>
      </x:c>
      <x:c r="F249" s="27" t="str">
        <x:v>ELETTROUTENSILI</x:v>
      </x:c>
      <x:c r="G249" s="27" t="str">
        <x:v>SMERIGLIATRICI</x:v>
      </x:c>
      <x:c r="H249" s="28" t="n">
        <x:v>57.3</x:v>
      </x:c>
      <x:c r="I249" s="28" t="n">
        <x:v>69.9</x:v>
      </x:c>
      <x:c r="J249" s="29" t="n">
        <x:v>22</x:v>
      </x:c>
      <x:c r="K249" s="27" t="str"/>
      <x:c r="L249" s="27" t="str"/>
      <x:c r="M249" s="27" t="str"/>
      <x:c r="N249" s="27" t="str">
        <x:v>BLACK+DECKER</x:v>
      </x:c>
      <x:c r="O249" s="27" t="str"/>
      <x:c r="P249" s="27" t="str">
        <x:v>Catalogo Black+Decker Lo Specialista 2026, pagina 53. Prezzi se presenti: raccomandati dal catalogo.</x:v>
      </x:c>
      <x:c r="Q249" s="30" t="str">
        <x:v>2026-06-10</x:v>
      </x:c>
      <x:c r="R249" s="27" t="n">
        <x:v>53</x:v>
      </x:c>
      <x:c r="S249" s="27" t="str">
        <x:v>B+D_CATALOGO Lo Specialista 2026.pdf</x:v>
      </x:c>
    </x:row>
    <x:row r="250">
      <x:c r="A250" s="27" t="str">
        <x:v>BD-0249</x:v>
      </x:c>
      <x:c r="B250" s="27" t="str">
        <x:v>5035048335529</x:v>
      </x:c>
      <x:c r="C250" s="27" t="str">
        <x:v>KR911K-QS</x:v>
      </x:c>
      <x:c r="D250" s="27" t="str">
        <x:v>Trapano a percussione a filo 910W in valigetta</x:v>
      </x:c>
      <x:c r="E250" s="27" t="str">
        <x:v>BLACK+DECKER</x:v>
      </x:c>
      <x:c r="F250" s="27" t="str">
        <x:v>ELETTROUTENSILI</x:v>
      </x:c>
      <x:c r="G250" s="27" t="str">
        <x:v>TRAPANI A FILO</x:v>
      </x:c>
      <x:c r="H250" s="28" t="n">
        <x:v>81.9</x:v>
      </x:c>
      <x:c r="I250" s="28" t="n">
        <x:v>99.9</x:v>
      </x:c>
      <x:c r="J250" s="29" t="n">
        <x:v>22</x:v>
      </x:c>
      <x:c r="K250" s="27" t="str"/>
      <x:c r="L250" s="27" t="str"/>
      <x:c r="M250" s="27" t="str"/>
      <x:c r="N250" s="27" t="str">
        <x:v>BLACK+DECKER</x:v>
      </x:c>
      <x:c r="O250" s="27" t="str"/>
      <x:c r="P250" s="27" t="str">
        <x:v>Catalogo Black+Decker Lo Specialista 2026, pagina 14. Prezzi se presenti: raccomandati dal catalogo.</x:v>
      </x:c>
      <x:c r="Q250" s="30" t="str">
        <x:v>2026-06-10</x:v>
      </x:c>
      <x:c r="R250" s="27" t="n">
        <x:v>14</x:v>
      </x:c>
      <x:c r="S250" s="27" t="str">
        <x:v>B+D_CATALOGO Lo Specialista 2026.pdf</x:v>
      </x:c>
    </x:row>
    <x:row r="251">
      <x:c r="A251" s="27" t="str">
        <x:v>BD-0250</x:v>
      </x:c>
      <x:c r="B251" s="27" t="str">
        <x:v>5035048545843</x:v>
      </x:c>
      <x:c r="C251" s="27" t="str">
        <x:v>KS701PEK-QS</x:v>
      </x:c>
      <x:c r="D251" s="27" t="str">
        <x:v>Seghetto alternativo ad azione pendolare in valigetta</x:v>
      </x:c>
      <x:c r="E251" s="27" t="str">
        <x:v>BLACK+DECKER</x:v>
      </x:c>
      <x:c r="F251" s="27" t="str">
        <x:v>ELETTROUTENSILI</x:v>
      </x:c>
      <x:c r="G251" s="27" t="str">
        <x:v>UTENSILI PER TAGLIARE</x:v>
      </x:c>
      <x:c r="H251" s="28" t="n">
        <x:v>40.9</x:v>
      </x:c>
      <x:c r="I251" s="28" t="n">
        <x:v>49.9</x:v>
      </x:c>
      <x:c r="J251" s="29" t="n">
        <x:v>22</x:v>
      </x:c>
      <x:c r="K251" s="27" t="str"/>
      <x:c r="L251" s="27" t="str"/>
      <x:c r="M251" s="27" t="str"/>
      <x:c r="N251" s="27" t="str">
        <x:v>BLACK+DECKER</x:v>
      </x:c>
      <x:c r="O251" s="27" t="str"/>
      <x:c r="P251" s="27" t="str">
        <x:v>Catalogo Black+Decker Lo Specialista 2026, pagina 30. Prezzi se presenti: raccomandati dal catalogo.</x:v>
      </x:c>
      <x:c r="Q251" s="30" t="str">
        <x:v>2026-06-10</x:v>
      </x:c>
      <x:c r="R251" s="27" t="n">
        <x:v>30</x:v>
      </x:c>
      <x:c r="S251" s="27" t="str">
        <x:v>B+D_CATALOGO Lo Specialista 2026.pdf</x:v>
      </x:c>
    </x:row>
    <x:row r="252">
      <x:c r="A252" s="27" t="str">
        <x:v>BD-0251</x:v>
      </x:c>
      <x:c r="B252" s="27" t="str">
        <x:v>5035048545867</x:v>
      </x:c>
      <x:c r="C252" s="27" t="str">
        <x:v>KS801SE-QS</x:v>
      </x:c>
      <x:c r="D252" s="27" t="str">
        <x:v>Seghetto alternativo Autoselect® ad azione pendolare 550W</x:v>
      </x:c>
      <x:c r="E252" s="27" t="str">
        <x:v>BLACK+DECKER</x:v>
      </x:c>
      <x:c r="F252" s="27" t="str">
        <x:v>ELETTROUTENSILI</x:v>
      </x:c>
      <x:c r="G252" s="27" t="str">
        <x:v>UTENSILI PER TAGLIARE</x:v>
      </x:c>
      <x:c r="H252" s="28" t="n">
        <x:v>49.1</x:v>
      </x:c>
      <x:c r="I252" s="28" t="n">
        <x:v>59.9</x:v>
      </x:c>
      <x:c r="J252" s="29" t="n">
        <x:v>22</x:v>
      </x:c>
      <x:c r="K252" s="27" t="str"/>
      <x:c r="L252" s="27" t="str"/>
      <x:c r="M252" s="27" t="str"/>
      <x:c r="N252" s="27" t="str">
        <x:v>BLACK+DECKER</x:v>
      </x:c>
      <x:c r="O252" s="27" t="str"/>
      <x:c r="P252" s="27" t="str">
        <x:v>Catalogo Black+Decker Lo Specialista 2026, pagina 30. Prezzi se presenti: raccomandati dal catalogo.</x:v>
      </x:c>
      <x:c r="Q252" s="30" t="str">
        <x:v>2026-06-10</x:v>
      </x:c>
      <x:c r="R252" s="27" t="n">
        <x:v>30</x:v>
      </x:c>
      <x:c r="S252" s="27" t="str">
        <x:v>B+D_CATALOGO Lo Specialista 2026.pdf</x:v>
      </x:c>
    </x:row>
    <x:row r="253">
      <x:c r="A253" s="27" t="str">
        <x:v>BD-0252</x:v>
      </x:c>
      <x:c r="B253" s="27" t="str">
        <x:v>5035048545898</x:v>
      </x:c>
      <x:c r="C253" s="27" t="str">
        <x:v>KS801SEK-QS</x:v>
      </x:c>
      <x:c r="D253" s="27" t="str">
        <x:v>Seghetto alternativo Autoselect® ad azione pendolare 550W in valigetta</x:v>
      </x:c>
      <x:c r="E253" s="27" t="str">
        <x:v>BLACK+DECKER</x:v>
      </x:c>
      <x:c r="F253" s="27" t="str">
        <x:v>ELETTROUTENSILI</x:v>
      </x:c>
      <x:c r="G253" s="27" t="str">
        <x:v>UTENSILI PER TAGLIARE</x:v>
      </x:c>
      <x:c r="H253" s="28" t="n">
        <x:v>57.3</x:v>
      </x:c>
      <x:c r="I253" s="28" t="n">
        <x:v>69.9</x:v>
      </x:c>
      <x:c r="J253" s="29" t="n">
        <x:v>22</x:v>
      </x:c>
      <x:c r="K253" s="27" t="str"/>
      <x:c r="L253" s="27" t="str"/>
      <x:c r="M253" s="27" t="str"/>
      <x:c r="N253" s="27" t="str">
        <x:v>BLACK+DECKER</x:v>
      </x:c>
      <x:c r="O253" s="27" t="str"/>
      <x:c r="P253" s="27" t="str">
        <x:v>Catalogo Black+Decker Lo Specialista 2026, pagina 30. Prezzi se presenti: raccomandati dal catalogo.</x:v>
      </x:c>
      <x:c r="Q253" s="30" t="str">
        <x:v>2026-06-10</x:v>
      </x:c>
      <x:c r="R253" s="27" t="n">
        <x:v>30</x:v>
      </x:c>
      <x:c r="S253" s="27" t="str">
        <x:v>B+D_CATALOGO Lo Specialista 2026.pdf</x:v>
      </x:c>
    </x:row>
    <x:row r="254">
      <x:c r="A254" s="27" t="str">
        <x:v>BD-0253</x:v>
      </x:c>
      <x:c r="B254" s="27" t="str">
        <x:v>5035048147955</x:v>
      </x:c>
      <x:c r="C254" s="27" t="str">
        <x:v>KS880EC-QS</x:v>
      </x:c>
      <x:c r="D254" s="27" t="str">
        <x:v>Sega multifunzione 400W</x:v>
      </x:c>
      <x:c r="E254" s="27" t="str">
        <x:v>BLACK+DECKER</x:v>
      </x:c>
      <x:c r="F254" s="27" t="str">
        <x:v>ELETTROUTENSILI</x:v>
      </x:c>
      <x:c r="G254" s="27" t="str">
        <x:v>UTENSILI PER TAGLIARE</x:v>
      </x:c>
      <x:c r="H254" s="28" t="n">
        <x:v>65.9</x:v>
      </x:c>
      <x:c r="I254" s="28" t="n">
        <x:v>80.4</x:v>
      </x:c>
      <x:c r="J254" s="29" t="n">
        <x:v>22</x:v>
      </x:c>
      <x:c r="K254" s="27" t="str"/>
      <x:c r="L254" s="27" t="str"/>
      <x:c r="M254" s="27" t="str"/>
      <x:c r="N254" s="27" t="str">
        <x:v>BLACK+DECKER</x:v>
      </x:c>
      <x:c r="O254" s="27" t="str"/>
      <x:c r="P254" s="27" t="str">
        <x:v>Catalogo Black+Decker Lo Specialista 2026, pagina 33. Prezzi se presenti: raccomandati dal catalogo.</x:v>
      </x:c>
      <x:c r="Q254" s="30" t="str">
        <x:v>2026-06-10</x:v>
      </x:c>
      <x:c r="R254" s="27" t="n">
        <x:v>33</x:v>
      </x:c>
      <x:c r="S254" s="27" t="str">
        <x:v>B+D_CATALOGO Lo Specialista 2026.pdf</x:v>
      </x:c>
    </x:row>
    <x:row r="255">
      <x:c r="A255" s="27" t="str">
        <x:v>BD-0254</x:v>
      </x:c>
      <x:c r="B255" s="27" t="str">
        <x:v>5035048545904</x:v>
      </x:c>
      <x:c r="C255" s="27" t="str">
        <x:v>KS901PEK-QS</x:v>
      </x:c>
      <x:c r="D255" s="27" t="str">
        <x:v>Seghetto alternativo ad azione pendolare 620W in valigetta</x:v>
      </x:c>
      <x:c r="E255" s="27" t="str">
        <x:v>BLACK+DECKER</x:v>
      </x:c>
      <x:c r="F255" s="27" t="str">
        <x:v>ELETTROUTENSILI</x:v>
      </x:c>
      <x:c r="G255" s="27" t="str">
        <x:v>UTENSILI PER TAGLIARE</x:v>
      </x:c>
      <x:c r="H255" s="28" t="n">
        <x:v>57.3</x:v>
      </x:c>
      <x:c r="I255" s="28" t="n">
        <x:v>69.9</x:v>
      </x:c>
      <x:c r="J255" s="29" t="n">
        <x:v>22</x:v>
      </x:c>
      <x:c r="K255" s="27" t="str"/>
      <x:c r="L255" s="27" t="str"/>
      <x:c r="M255" s="27" t="str"/>
      <x:c r="N255" s="27" t="str">
        <x:v>BLACK+DECKER</x:v>
      </x:c>
      <x:c r="O255" s="27" t="str"/>
      <x:c r="P255" s="27" t="str">
        <x:v>Catalogo Black+Decker Lo Specialista 2026, pagina 31. Prezzi se presenti: raccomandati dal catalogo.</x:v>
      </x:c>
      <x:c r="Q255" s="30" t="str">
        <x:v>2026-06-10</x:v>
      </x:c>
      <x:c r="R255" s="27" t="n">
        <x:v>31</x:v>
      </x:c>
      <x:c r="S255" s="27" t="str">
        <x:v>B+D_CATALOGO Lo Specialista 2026.pdf</x:v>
      </x:c>
    </x:row>
    <x:row r="256">
      <x:c r="A256" s="27" t="str">
        <x:v>BD-0255</x:v>
      </x:c>
      <x:c r="B256" s="27" t="str">
        <x:v>5035048658284</x:v>
      </x:c>
      <x:c r="C256" s="27" t="str">
        <x:v>KW1200E-QS</x:v>
      </x:c>
      <x:c r="D256" s="27" t="str">
        <x:v>Elettrofresatrice 1200W</x:v>
      </x:c>
      <x:c r="E256" s="27" t="str">
        <x:v>BLACK+DECKER</x:v>
      </x:c>
      <x:c r="F256" s="27" t="str">
        <x:v>ELETTROUTENSILI</x:v>
      </x:c>
      <x:c r="G256" s="27" t="str">
        <x:v>PIALLETTI, ELETTROFRESATRICI ED ALTRI UTENSILI</x:v>
      </x:c>
      <x:c r="H256" s="28" t="n">
        <x:v>65.5</x:v>
      </x:c>
      <x:c r="I256" s="28" t="n">
        <x:v>79.9</x:v>
      </x:c>
      <x:c r="J256" s="29" t="n">
        <x:v>22</x:v>
      </x:c>
      <x:c r="K256" s="27" t="str"/>
      <x:c r="L256" s="27" t="str"/>
      <x:c r="M256" s="27" t="str"/>
      <x:c r="N256" s="27" t="str">
        <x:v>BLACK+DECKER</x:v>
      </x:c>
      <x:c r="O256" s="27" t="str"/>
      <x:c r="P256" s="27" t="str">
        <x:v>Catalogo Black+Decker Lo Specialista 2026, pagina 57. Prezzi se presenti: raccomandati dal catalogo.</x:v>
      </x:c>
      <x:c r="Q256" s="30" t="str">
        <x:v>2026-06-10</x:v>
      </x:c>
      <x:c r="R256" s="27" t="n">
        <x:v>57</x:v>
      </x:c>
      <x:c r="S256" s="27" t="str">
        <x:v>B+D_CATALOGO Lo Specialista 2026.pdf</x:v>
      </x:c>
    </x:row>
    <x:row r="257">
      <x:c r="A257" s="27" t="str">
        <x:v>BD-0256</x:v>
      </x:c>
      <x:c r="B257" s="27" t="str">
        <x:v>5035048658291</x:v>
      </x:c>
      <x:c r="C257" s="27" t="str">
        <x:v>KW1200EKA-QS</x:v>
      </x:c>
      <x:c r="D257" s="27" t="str">
        <x:v>Elettrofresatrice 1200W in valigetta</x:v>
      </x:c>
      <x:c r="E257" s="27" t="str">
        <x:v>BLACK+DECKER</x:v>
      </x:c>
      <x:c r="F257" s="27" t="str">
        <x:v>ELETTROUTENSILI</x:v>
      </x:c>
      <x:c r="G257" s="27" t="str">
        <x:v>PIALLETTI, ELETTROFRESATRICI ED ALTRI UTENSILI</x:v>
      </x:c>
      <x:c r="H257" s="28" t="n">
        <x:v>90.1</x:v>
      </x:c>
      <x:c r="I257" s="28" t="n">
        <x:v>109.9</x:v>
      </x:c>
      <x:c r="J257" s="29" t="n">
        <x:v>22</x:v>
      </x:c>
      <x:c r="K257" s="27" t="str"/>
      <x:c r="L257" s="27" t="str"/>
      <x:c r="M257" s="27" t="str"/>
      <x:c r="N257" s="27" t="str">
        <x:v>BLACK+DECKER</x:v>
      </x:c>
      <x:c r="O257" s="27" t="str"/>
      <x:c r="P257" s="27" t="str">
        <x:v>Catalogo Black+Decker Lo Specialista 2026, pagina 57. Prezzi se presenti: raccomandati dal catalogo.</x:v>
      </x:c>
      <x:c r="Q257" s="30" t="str">
        <x:v>2026-06-10</x:v>
      </x:c>
      <x:c r="R257" s="27" t="n">
        <x:v>57</x:v>
      </x:c>
      <x:c r="S257" s="27" t="str">
        <x:v>B+D_CATALOGO Lo Specialista 2026.pdf</x:v>
      </x:c>
    </x:row>
    <x:row r="258">
      <x:c r="A258" s="27" t="str">
        <x:v>BD-0257</x:v>
      </x:c>
      <x:c r="B258" s="27" t="str">
        <x:v>5035048312070</x:v>
      </x:c>
      <x:c r="C258" s="27" t="str">
        <x:v>KW750K-QS</x:v>
      </x:c>
      <x:c r="D258" s="27" t="str">
        <x:v>Pialletto 750W in valigetta</x:v>
      </x:c>
      <x:c r="E258" s="27" t="str">
        <x:v>BLACK+DECKER</x:v>
      </x:c>
      <x:c r="F258" s="27" t="str">
        <x:v>ELETTROUTENSILI</x:v>
      </x:c>
      <x:c r="G258" s="27" t="str">
        <x:v>PIALLETTI, ELETTROFRESATRICI ED ALTRI UTENSILI</x:v>
      </x:c>
      <x:c r="H258" s="28" t="n">
        <x:v>81.9</x:v>
      </x:c>
      <x:c r="I258" s="28" t="n">
        <x:v>99.9</x:v>
      </x:c>
      <x:c r="J258" s="29" t="n">
        <x:v>22</x:v>
      </x:c>
      <x:c r="K258" s="27" t="str"/>
      <x:c r="L258" s="27" t="str"/>
      <x:c r="M258" s="27" t="str"/>
      <x:c r="N258" s="27" t="str">
        <x:v>BLACK+DECKER</x:v>
      </x:c>
      <x:c r="O258" s="27" t="str"/>
      <x:c r="P258" s="27" t="str">
        <x:v>Catalogo Black+Decker Lo Specialista 2026, pagina 56. Prezzi se presenti: raccomandati dal catalogo.</x:v>
      </x:c>
      <x:c r="Q258" s="30" t="str">
        <x:v>2026-06-10</x:v>
      </x:c>
      <x:c r="R258" s="27" t="n">
        <x:v>56</x:v>
      </x:c>
      <x:c r="S258" s="27" t="str">
        <x:v>B+D_CATALOGO Lo Specialista 2026.pdf</x:v>
      </x:c>
    </x:row>
    <x:row r="259">
      <x:c r="A259" s="27" t="str">
        <x:v>BD-0258</x:v>
      </x:c>
      <x:c r="B259" s="27" t="str">
        <x:v>5035048331491</x:v>
      </x:c>
      <x:c r="C259" s="27" t="str">
        <x:v>KX1650-QS</x:v>
      </x:c>
      <x:c r="D259" s="27" t="str">
        <x:v>Pistola termica - Sverniciatore 1700W</x:v>
      </x:c>
      <x:c r="E259" s="27" t="str">
        <x:v>BLACK+DECKER</x:v>
      </x:c>
      <x:c r="F259" s="27" t="str">
        <x:v>ELETTROUTENSILI</x:v>
      </x:c>
      <x:c r="G259" s="27" t="str">
        <x:v>FINITURA INTERNI E PITTURA</x:v>
      </x:c>
      <x:c r="H259" s="28" t="n">
        <x:v>26.1</x:v>
      </x:c>
      <x:c r="I259" s="28" t="n">
        <x:v>31.8</x:v>
      </x:c>
      <x:c r="J259" s="29" t="n">
        <x:v>22</x:v>
      </x:c>
      <x:c r="K259" s="27" t="str"/>
      <x:c r="L259" s="27" t="str"/>
      <x:c r="M259" s="27" t="str"/>
      <x:c r="N259" s="27" t="str">
        <x:v>BLACK+DECKER</x:v>
      </x:c>
      <x:c r="O259" s="27" t="str"/>
      <x:c r="P259" s="27" t="str">
        <x:v>Catalogo Black+Decker Lo Specialista 2026, pagina 63. Prezzi se presenti: raccomandati dal catalogo.</x:v>
      </x:c>
      <x:c r="Q259" s="30" t="str">
        <x:v>2026-06-10</x:v>
      </x:c>
      <x:c r="R259" s="27" t="n">
        <x:v>63</x:v>
      </x:c>
      <x:c r="S259" s="27" t="str">
        <x:v>B+D_CATALOGO Lo Specialista 2026.pdf</x:v>
      </x:c>
    </x:row>
    <x:row r="260">
      <x:c r="A260" s="27" t="str">
        <x:v>BD-0259</x:v>
      </x:c>
      <x:c r="B260" s="27" t="str">
        <x:v>5035048444054</x:v>
      </x:c>
      <x:c r="C260" s="27" t="str">
        <x:v>KX2001-QS</x:v>
      </x:c>
      <x:c r="D260" s="27" t="str">
        <x:v>Pistola termica - Sverniciatore 2000W</x:v>
      </x:c>
      <x:c r="E260" s="27" t="str">
        <x:v>BLACK+DECKER</x:v>
      </x:c>
      <x:c r="F260" s="27" t="str">
        <x:v>ELETTROUTENSILI</x:v>
      </x:c>
      <x:c r="G260" s="27" t="str">
        <x:v>FINITURA INTERNI E PITTURA</x:v>
      </x:c>
      <x:c r="H260" s="28" t="n">
        <x:v>37.6</x:v>
      </x:c>
      <x:c r="I260" s="28" t="n">
        <x:v>45.9</x:v>
      </x:c>
      <x:c r="J260" s="29" t="n">
        <x:v>22</x:v>
      </x:c>
      <x:c r="K260" s="27" t="str"/>
      <x:c r="L260" s="27" t="str"/>
      <x:c r="M260" s="27" t="str"/>
      <x:c r="N260" s="27" t="str">
        <x:v>BLACK+DECKER</x:v>
      </x:c>
      <x:c r="O260" s="27" t="str"/>
      <x:c r="P260" s="27" t="str">
        <x:v>Catalogo Black+Decker Lo Specialista 2026, pagina 64. Prezzi se presenti: raccomandati dal catalogo.</x:v>
      </x:c>
      <x:c r="Q260" s="30" t="str">
        <x:v>2026-06-10</x:v>
      </x:c>
      <x:c r="R260" s="27" t="n">
        <x:v>64</x:v>
      </x:c>
      <x:c r="S260" s="27" t="str">
        <x:v>B+D_CATALOGO Lo Specialista 2026.pdf</x:v>
      </x:c>
    </x:row>
    <x:row r="261">
      <x:c r="A261" s="27" t="str">
        <x:v>BD-0260</x:v>
      </x:c>
      <x:c r="B261" s="27" t="str">
        <x:v>5035048331521</x:v>
      </x:c>
      <x:c r="C261" s="27" t="str">
        <x:v>KX2200K-QS</x:v>
      </x:c>
      <x:c r="D261" s="27" t="str">
        <x:v>Pistola termica - Sverniciatore 2000W in valigetta</x:v>
      </x:c>
      <x:c r="E261" s="27" t="str">
        <x:v>BLACK+DECKER</x:v>
      </x:c>
      <x:c r="F261" s="27" t="str">
        <x:v>ELETTROUTENSILI</x:v>
      </x:c>
      <x:c r="G261" s="27" t="str">
        <x:v>FINITURA INTERNI E PITTURA</x:v>
      </x:c>
      <x:c r="H261" s="28" t="n">
        <x:v>49.1</x:v>
      </x:c>
      <x:c r="I261" s="28" t="n">
        <x:v>59.9</x:v>
      </x:c>
      <x:c r="J261" s="29" t="n">
        <x:v>22</x:v>
      </x:c>
      <x:c r="K261" s="27" t="str"/>
      <x:c r="L261" s="27" t="str"/>
      <x:c r="M261" s="27" t="str"/>
      <x:c r="N261" s="27" t="str">
        <x:v>BLACK+DECKER</x:v>
      </x:c>
      <x:c r="O261" s="27" t="str"/>
      <x:c r="P261" s="27" t="str">
        <x:v>Catalogo Black+Decker Lo Specialista 2026, pagina 64. Prezzi se presenti: raccomandati dal catalogo.</x:v>
      </x:c>
      <x:c r="Q261" s="30" t="str">
        <x:v>2026-06-10</x:v>
      </x:c>
      <x:c r="R261" s="27" t="n">
        <x:v>64</x:v>
      </x:c>
      <x:c r="S261" s="27" t="str">
        <x:v>B+D_CATALOGO Lo Specialista 2026.pdf</x:v>
      </x:c>
    </x:row>
    <x:row r="262">
      <x:c r="A262" s="27" t="str">
        <x:v>BD-0261</x:v>
      </x:c>
      <x:c r="B262" s="27" t="str">
        <x:v>5011402171712</x:v>
      </x:c>
      <x:c r="C262" s="27" t="str">
        <x:v>KX3300-QS</x:v>
      </x:c>
      <x:c r="D262" s="27" t="str">
        <x:v>Utensile a vapore per rimuovere la carta da parati</x:v>
      </x:c>
      <x:c r="E262" s="27" t="str">
        <x:v>BLACK+DECKER</x:v>
      </x:c>
      <x:c r="F262" s="27" t="str">
        <x:v>ELETTROUTENSILI</x:v>
      </x:c>
      <x:c r="G262" s="27" t="str">
        <x:v>FINITURA INTERNI E PITTURA</x:v>
      </x:c>
      <x:c r="H262" s="28" t="n">
        <x:v>57.3</x:v>
      </x:c>
      <x:c r="I262" s="28" t="n">
        <x:v>69.9</x:v>
      </x:c>
      <x:c r="J262" s="29" t="n">
        <x:v>22</x:v>
      </x:c>
      <x:c r="K262" s="27" t="str"/>
      <x:c r="L262" s="27" t="str"/>
      <x:c r="M262" s="27" t="str"/>
      <x:c r="N262" s="27" t="str">
        <x:v>BLACK+DECKER</x:v>
      </x:c>
      <x:c r="O262" s="27" t="str"/>
      <x:c r="P262" s="27" t="str">
        <x:v>Catalogo Black+Decker Lo Specialista 2026, pagina 65. Prezzi se presenti: raccomandati dal catalogo.</x:v>
      </x:c>
      <x:c r="Q262" s="30" t="str">
        <x:v>2026-06-10</x:v>
      </x:c>
      <x:c r="R262" s="27" t="n">
        <x:v>65</x:v>
      </x:c>
      <x:c r="S262" s="27" t="str">
        <x:v>B+D_CATALOGO Lo Specialista 2026.pdf</x:v>
      </x:c>
    </x:row>
    <x:row r="263">
      <x:c r="A263" s="27" t="str">
        <x:v>BD-0262</x:v>
      </x:c>
      <x:c r="B263" s="27" t="str">
        <x:v>5035048653807</x:v>
      </x:c>
      <x:c r="C263" s="27" t="str">
        <x:v>MT300SA2-QS</x:v>
      </x:c>
      <x:c r="D263" s="27" t="str">
        <x:v>Utensile multifunzione oscillante a filo 300W</x:v>
      </x:c>
      <x:c r="E263" s="27" t="str">
        <x:v>BLACK+DECKER</x:v>
      </x:c>
      <x:c r="F263" s="27" t="str">
        <x:v>ELETTROUTENSILI</x:v>
      </x:c>
      <x:c r="G263" s="27" t="str">
        <x:v>PIALLETTI, ELETTROFRESATRICI ED ALTRI UTENSILI</x:v>
      </x:c>
      <x:c r="H263" s="28" t="n">
        <x:v>81.9</x:v>
      </x:c>
      <x:c r="I263" s="28" t="n">
        <x:v>99.9</x:v>
      </x:c>
      <x:c r="J263" s="29" t="n">
        <x:v>22</x:v>
      </x:c>
      <x:c r="K263" s="27" t="str"/>
      <x:c r="L263" s="27" t="str"/>
      <x:c r="M263" s="27" t="str"/>
      <x:c r="N263" s="27" t="str">
        <x:v>BLACK+DECKER</x:v>
      </x:c>
      <x:c r="O263" s="27" t="str"/>
      <x:c r="P263" s="27" t="str">
        <x:v>Catalogo Black+Decker Lo Specialista 2026, pagina 58. Prezzi se presenti: raccomandati dal catalogo.</x:v>
      </x:c>
      <x:c r="Q263" s="30" t="str">
        <x:v>2026-06-10</x:v>
      </x:c>
      <x:c r="R263" s="27" t="n">
        <x:v>58</x:v>
      </x:c>
      <x:c r="S263" s="27" t="str">
        <x:v>B+D_CATALOGO Lo Specialista 2026.pdf</x:v>
      </x:c>
    </x:row>
    <x:row r="264">
      <x:c r="A264" s="27" t="str">
        <x:v>BD-0263</x:v>
      </x:c>
      <x:c r="B264" s="27" t="str">
        <x:v>5035048636602</x:v>
      </x:c>
      <x:c r="C264" s="27" t="str">
        <x:v>PH5551-QS</x:v>
      </x:c>
      <x:c r="D264" s="27" t="str">
        <x:v>Tagliasiepi a filo 550W a testa orientabile</x:v>
      </x:c>
      <x:c r="E264" s="27" t="str">
        <x:v>BLACK+DECKER</x:v>
      </x:c>
      <x:c r="F264" s="27" t="str">
        <x:v>GAMMA GIARDINO</x:v>
      </x:c>
      <x:c r="G264" s="27" t="str">
        <x:v>TAGLIASIEPI E CESOIE</x:v>
      </x:c>
      <x:c r="H264" s="28" t="n">
        <x:v>106.5</x:v>
      </x:c>
      <x:c r="I264" s="28" t="n">
        <x:v>129.9</x:v>
      </x:c>
      <x:c r="J264" s="29" t="n">
        <x:v>22</x:v>
      </x:c>
      <x:c r="K264" s="27" t="str"/>
      <x:c r="L264" s="27" t="str"/>
      <x:c r="M264" s="27" t="str"/>
      <x:c r="N264" s="27" t="str">
        <x:v>BLACK+DECKER</x:v>
      </x:c>
      <x:c r="O264" s="27" t="str"/>
      <x:c r="P264" s="27" t="str">
        <x:v>Catalogo Black+Decker Lo Specialista 2026, pagina 113. Prezzi se presenti: raccomandati dal catalogo.</x:v>
      </x:c>
      <x:c r="Q264" s="30" t="str">
        <x:v>2026-06-10</x:v>
      </x:c>
      <x:c r="R264" s="27" t="n">
        <x:v>113</x:v>
      </x:c>
      <x:c r="S264" s="27" t="str">
        <x:v>B+D_CATALOGO Lo Specialista 2026.pdf</x:v>
      </x:c>
    </x:row>
    <x:row r="265">
      <x:c r="A265" s="27" t="str">
        <x:v>BD-0264</x:v>
      </x:c>
      <x:c r="B265" s="27" t="str">
        <x:v>5035048554081</x:v>
      </x:c>
      <x:c r="C265" s="27" t="str">
        <x:v>PS7525-QS</x:v>
      </x:c>
      <x:c r="D265" s="27" t="str">
        <x:v>Sega potatrice telescopica a filo 800W</x:v>
      </x:c>
      <x:c r="E265" s="27" t="str">
        <x:v>BLACK+DECKER</x:v>
      </x:c>
      <x:c r="F265" s="27" t="str">
        <x:v>GAMMA GIARDINO</x:v>
      </x:c>
      <x:c r="G265" s="27" t="str">
        <x:v>ELETTROSEGHE E POTATORI</x:v>
      </x:c>
      <x:c r="H265" s="28" t="n">
        <x:v>81.9</x:v>
      </x:c>
      <x:c r="I265" s="28" t="n">
        <x:v>99.9</x:v>
      </x:c>
      <x:c r="J265" s="29" t="n">
        <x:v>22</x:v>
      </x:c>
      <x:c r="K265" s="27" t="str"/>
      <x:c r="L265" s="27" t="str"/>
      <x:c r="M265" s="27" t="str"/>
      <x:c r="N265" s="27" t="str">
        <x:v>BLACK+DECKER</x:v>
      </x:c>
      <x:c r="O265" s="27" t="str"/>
      <x:c r="P265" s="27" t="str">
        <x:v>Catalogo Black+Decker Lo Specialista 2026, pagina 107. Prezzi se presenti: raccomandati dal catalogo.</x:v>
      </x:c>
      <x:c r="Q265" s="30" t="str">
        <x:v>2026-06-10</x:v>
      </x:c>
      <x:c r="R265" s="27" t="n">
        <x:v>107</x:v>
      </x:c>
      <x:c r="S265" s="27" t="str">
        <x:v>B+D_CATALOGO Lo Specialista 2026.pdf</x:v>
      </x:c>
    </x:row>
    <x:row r="266">
      <x:c r="A266" s="27" t="str">
        <x:v>BD-0265</x:v>
      </x:c>
      <x:c r="B266" s="27" t="str">
        <x:v>5035048839300</x:v>
      </x:c>
      <x:c r="C266" s="27" t="str">
        <x:v>REVSV18D1-QW</x:v>
      </x:c>
      <x:c r="D266" s="27" t="str">
        <x:v>Scopa ricaricabile 18V reviva</x:v>
      </x:c>
      <x:c r="E266" s="27" t="str">
        <x:v>BLACK+DECKER</x:v>
      </x:c>
      <x:c r="F266" s="27" t="str">
        <x:v>CURA DELLA CASA</x:v>
      </x:c>
      <x:c r="G266" s="27" t="str">
        <x:v>CURA DELLA CASA</x:v>
      </x:c>
      <x:c r="H266" s="28" t="n">
        <x:v>131.1</x:v>
      </x:c>
      <x:c r="I266" s="28" t="n">
        <x:v>159.9</x:v>
      </x:c>
      <x:c r="J266" s="29" t="n">
        <x:v>22</x:v>
      </x:c>
      <x:c r="K266" s="27" t="str"/>
      <x:c r="L266" s="27" t="str"/>
      <x:c r="M266" s="27" t="str"/>
      <x:c r="N266" s="27" t="str">
        <x:v>BLACK+DECKER</x:v>
      </x:c>
      <x:c r="O266" s="27" t="str"/>
      <x:c r="P266" s="27" t="str">
        <x:v>Catalogo Black+Decker Lo Specialista 2026, pagina 122. Prezzi se presenti: raccomandati dal catalogo.</x:v>
      </x:c>
      <x:c r="Q266" s="30" t="str">
        <x:v>2026-06-10</x:v>
      </x:c>
      <x:c r="R266" s="27" t="n">
        <x:v>122</x:v>
      </x:c>
      <x:c r="S266" s="27" t="str">
        <x:v>B+D_CATALOGO Lo Specialista 2026.pdf</x:v>
      </x:c>
    </x:row>
    <x:row r="267">
      <x:c r="A267" s="27" t="str">
        <x:v>BD-0266</x:v>
      </x:c>
      <x:c r="B267" s="27" t="str">
        <x:v>5035048434666</x:v>
      </x:c>
      <x:c r="C267" s="27" t="str">
        <x:v>RS890K-QS</x:v>
      </x:c>
      <x:c r="D267" s="27" t="str">
        <x:v>Sega multifunzione 500W Autoselect® Scorpion® in valigetta</x:v>
      </x:c>
      <x:c r="E267" s="27" t="str">
        <x:v>BLACK+DECKER</x:v>
      </x:c>
      <x:c r="F267" s="27" t="str">
        <x:v>ELETTROUTENSILI</x:v>
      </x:c>
      <x:c r="G267" s="27" t="str">
        <x:v>UTENSILI PER TAGLIARE</x:v>
      </x:c>
      <x:c r="H267" s="28" t="n">
        <x:v>81.9</x:v>
      </x:c>
      <x:c r="I267" s="28" t="n">
        <x:v>99.9</x:v>
      </x:c>
      <x:c r="J267" s="29" t="n">
        <x:v>22</x:v>
      </x:c>
      <x:c r="K267" s="27" t="str"/>
      <x:c r="L267" s="27" t="str"/>
      <x:c r="M267" s="27" t="str"/>
      <x:c r="N267" s="27" t="str">
        <x:v>BLACK+DECKER</x:v>
      </x:c>
      <x:c r="O267" s="27" t="str"/>
      <x:c r="P267" s="27" t="str">
        <x:v>Catalogo Black+Decker Lo Specialista 2026, pagina 34. Prezzi se presenti: raccomandati dal catalogo.</x:v>
      </x:c>
      <x:c r="Q267" s="30" t="str">
        <x:v>2026-06-10</x:v>
      </x:c>
      <x:c r="R267" s="27" t="n">
        <x:v>34</x:v>
      </x:c>
      <x:c r="S267" s="27" t="str">
        <x:v>B+D_CATALOGO Lo Specialista 2026.pdf</x:v>
      </x:c>
    </x:row>
    <x:row r="268">
      <x:c r="A268" s="27" t="str">
        <x:v>BD-0267</x:v>
      </x:c>
      <x:c r="B268" s="27" t="str">
        <x:v>5035048661918</x:v>
      </x:c>
      <x:c r="C268" s="27" t="str">
        <x:v>ST182320-QW</x:v>
      </x:c>
      <x:c r="D268" s="27" t="str">
        <x:v>Tagliabordi a batteria 18V</x:v>
      </x:c>
      <x:c r="E268" s="27" t="str">
        <x:v>BLACK+DECKER</x:v>
      </x:c>
      <x:c r="F268" s="27" t="str">
        <x:v>GAMMA GIARDINO</x:v>
      </x:c>
      <x:c r="G268" s="27" t="str">
        <x:v>TAGLIABORDI</x:v>
      </x:c>
      <x:c r="H268" s="28" t="n">
        <x:v>81.9</x:v>
      </x:c>
      <x:c r="I268" s="28" t="n">
        <x:v>99.9</x:v>
      </x:c>
      <x:c r="J268" s="29" t="n">
        <x:v>22</x:v>
      </x:c>
      <x:c r="K268" s="27" t="str"/>
      <x:c r="L268" s="27" t="str"/>
      <x:c r="M268" s="27" t="str"/>
      <x:c r="N268" s="27" t="str">
        <x:v>BLACK+DECKER</x:v>
      </x:c>
      <x:c r="O268" s="27" t="str"/>
      <x:c r="P268" s="27" t="str">
        <x:v>Catalogo Black+Decker Lo Specialista 2026, pagina 94. Prezzi se presenti: raccomandati dal catalogo.</x:v>
      </x:c>
      <x:c r="Q268" s="30" t="str">
        <x:v>2026-06-10</x:v>
      </x:c>
      <x:c r="R268" s="27" t="n">
        <x:v>94</x:v>
      </x:c>
      <x:c r="S268" s="27" t="str">
        <x:v>B+D_CATALOGO Lo Specialista 2026.pdf</x:v>
      </x:c>
    </x:row>
    <x:row r="269">
      <x:c r="A269" s="27" t="str">
        <x:v>BD-0268</x:v>
      </x:c>
      <x:c r="B269" s="27" t="str">
        <x:v>5035048639870</x:v>
      </x:c>
      <x:c r="C269" s="27" t="str">
        <x:v>STC1840EPC-QW</x:v>
      </x:c>
      <x:c r="D269" s="27" t="str">
        <x:v>Tagliabordi a batteria 18V</x:v>
      </x:c>
      <x:c r="E269" s="27" t="str">
        <x:v>BLACK+DECKER</x:v>
      </x:c>
      <x:c r="F269" s="27" t="str">
        <x:v>GAMMA GIARDINO</x:v>
      </x:c>
      <x:c r="G269" s="27" t="str">
        <x:v>TAGLIABORDI</x:v>
      </x:c>
      <x:c r="H269" s="28"/>
      <x:c r="I269" s="28"/>
      <x:c r="J269" s="29" t="n">
        <x:v>22</x:v>
      </x:c>
      <x:c r="K269" s="27" t="str"/>
      <x:c r="L269" s="27" t="str"/>
      <x:c r="M269" s="27" t="str"/>
      <x:c r="N269" s="27" t="str">
        <x:v>BLACK+DECKER</x:v>
      </x:c>
      <x:c r="O269" s="27" t="str"/>
      <x:c r="P269" s="27" t="str">
        <x:v>Catalogo Black+Decker Lo Specialista 2026, pagina 96. Prezzi se presenti: raccomandati dal catalogo.</x:v>
      </x:c>
      <x:c r="Q269" s="30" t="str">
        <x:v>2026-06-10</x:v>
      </x:c>
      <x:c r="R269" s="27" t="n">
        <x:v>96</x:v>
      </x:c>
      <x:c r="S269" s="27" t="str">
        <x:v>B+D_CATALOGO Lo Specialista 2026.pdf</x:v>
      </x:c>
    </x:row>
    <x:row r="270">
      <x:c r="A270" s="27" t="str">
        <x:v>BD-0269</x:v>
      </x:c>
      <x:c r="B270" s="27" t="str">
        <x:v>5035048103678</x:v>
      </x:c>
      <x:c r="C270" s="27" t="str">
        <x:v>WM301-XJ</x:v>
      </x:c>
      <x:c r="D270" s="27" t="str">
        <x:v>Banco da lavoro Workmate®</x:v>
      </x:c>
      <x:c r="E270" s="27" t="str">
        <x:v>BLACK+DECKER</x:v>
      </x:c>
      <x:c r="F270" s="27" t="str">
        <x:v>ELETTROUTENSILI</x:v>
      </x:c>
      <x:c r="G270" s="27" t="str">
        <x:v>BANCHI DA LAVORO E LIFESTYLE</x:v>
      </x:c>
      <x:c r="H270" s="28" t="n">
        <x:v>32.7</x:v>
      </x:c>
      <x:c r="I270" s="28" t="n">
        <x:v>39.9</x:v>
      </x:c>
      <x:c r="J270" s="29" t="n">
        <x:v>22</x:v>
      </x:c>
      <x:c r="K270" s="27" t="str"/>
      <x:c r="L270" s="27" t="str"/>
      <x:c r="M270" s="27" t="str"/>
      <x:c r="N270" s="27" t="str">
        <x:v>BLACK+DECKER</x:v>
      </x:c>
      <x:c r="O270" s="27" t="str"/>
      <x:c r="P270" s="27" t="str">
        <x:v>Catalogo Black+Decker Lo Specialista 2026, pagina 70. Prezzi se presenti: raccomandati dal catalogo.</x:v>
      </x:c>
      <x:c r="Q270" s="30" t="str">
        <x:v>2026-06-10</x:v>
      </x:c>
      <x:c r="R270" s="27" t="n">
        <x:v>70</x:v>
      </x:c>
      <x:c r="S270" s="27" t="str">
        <x:v>B+D_CATALOGO Lo Specialista 2026.pdf</x:v>
      </x:c>
    </x:row>
    <x:row r="271">
      <x:c r="A271" s="27" t="str">
        <x:v>BD-0270</x:v>
      </x:c>
      <x:c r="B271" s="27" t="str">
        <x:v>5011402122400</x:v>
      </x:c>
      <x:c r="C271" s="27" t="str">
        <x:v>WM550-XJ</x:v>
      </x:c>
      <x:c r="D271" s="27" t="str">
        <x:v>Banco da lavoro Workmate®</x:v>
      </x:c>
      <x:c r="E271" s="27" t="str">
        <x:v>BLACK+DECKER</x:v>
      </x:c>
      <x:c r="F271" s="27" t="str">
        <x:v>ELETTROUTENSILI</x:v>
      </x:c>
      <x:c r="G271" s="27" t="str">
        <x:v>BANCHI DA LAVORO E LIFESTYLE</x:v>
      </x:c>
      <x:c r="H271" s="28" t="n">
        <x:v>78.1</x:v>
      </x:c>
      <x:c r="I271" s="28" t="n">
        <x:v>95.28</x:v>
      </x:c>
      <x:c r="J271" s="29" t="n">
        <x:v>22</x:v>
      </x:c>
      <x:c r="K271" s="27" t="str"/>
      <x:c r="L271" s="27" t="str"/>
      <x:c r="M271" s="27" t="str"/>
      <x:c r="N271" s="27" t="str">
        <x:v>BLACK+DECKER</x:v>
      </x:c>
      <x:c r="O271" s="27" t="str"/>
      <x:c r="P271" s="27" t="str">
        <x:v>Catalogo Black+Decker Lo Specialista 2026, pagina 71. Prezzi se presenti: raccomandati dal catalogo.</x:v>
      </x:c>
      <x:c r="Q271" s="30" t="str">
        <x:v>2026-06-10</x:v>
      </x:c>
      <x:c r="R271" s="27" t="n">
        <x:v>71</x:v>
      </x:c>
      <x:c r="S271" s="27" t="str">
        <x:v>B+D_CATALOGO Lo Specialista 2026.pdf</x:v>
      </x:c>
    </x:row>
  </x:sheetData>
  <x:conditionalFormatting sqref="H2:I271">
    <x:cfRule type="expression" dxfId="0" priority="1">
      <x:formula>ISBLANK(H2)</x:formula>
    </x:cfRule>
  </x:conditionalFormatting>
  <x:conditionalFormatting sqref="K2:M271">
    <x:cfRule type="expression" dxfId="1" priority="2">
      <x:formula>ISBLANK(K2)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710aab4dcf4e4bf8"/>
    <x:tablePart xmlns:r="http://schemas.openxmlformats.org/officeDocument/2006/relationships" r:id="R0fc060f992714f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8" t="str">
        <x:v>File creato</x:v>
      </x:c>
      <x:c r="B1" s="27" t="str">
        <x:v>2026-06-10</x:v>
      </x:c>
    </x:row>
    <x:row r="2">
      <x:c r="A2" s="38" t="str">
        <x:v>Origine</x:v>
      </x:c>
      <x:c r="B2" s="27" t="str">
        <x:v>B+D_CATALOGO Lo Specialista 2026.pdf</x:v>
      </x:c>
    </x:row>
    <x:row r="3">
      <x:c r="A3" s="38" t="str">
        <x:v>Righe prodotto</x:v>
      </x:c>
      <x:c r="B3" s="27" t="n">
        <x:v>270</x:v>
      </x:c>
    </x:row>
    <x:row r="4">
      <x:c r="A4" s="38" t="str">
        <x:v>Nota importante</x:v>
      </x:c>
      <x:c r="B4" s="27" t="str">
        <x:v>I codici EAN e le descrizioni arrivano dall'indice alfabetico del catalogo. I prezzi sono stati agganciati quando leggibili nelle pagine prodotto; dove mancano restano vuoti.</x:v>
      </x:c>
    </x:row>
    <x:row r="5">
      <x:c r="A5" s="38" t="str">
        <x:v>Uso consigliato</x:v>
      </x:c>
      <x:c r="B5" s="27" t="str">
        <x:v>Importa il foglio 'Catalogo Ferramenta' nella tua app/gestionale. Compila Scaffale, Corsia e Quantita durante l'inventario fisico.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22" hidden="0" customWidth="1"/>
    <x:col min="7" max="7" width="24" hidden="0" customWidth="1"/>
    <x:col min="8" max="8" width="13" hidden="0" customWidth="1"/>
    <x:col min="9" max="9" width="13" hidden="0" customWidth="1"/>
    <x:col min="10" max="10" width="8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16" hidden="0" customWidth="1"/>
    <x:col min="16" max="16" width="40" hidden="0" customWidth="1"/>
    <x:col min="17" max="17" width="13" hidden="0" customWidth="1"/>
    <x:col min="18" max="18" width="28" hidden="0" customWidth="1"/>
    <x:col min="19" max="19" width="12" hidden="0" customWidth="1"/>
    <x:col min="20" max="20" width="38" hidden="0" customWidth="1"/>
  </x:cols>
  <x:sheetData>
    <x:row r="1" ht="28" customHeight="1">
      <x:c r="A1" s="44" t="str">
        <x:v>id</x:v>
      </x:c>
      <x:c r="B1" s="44" t="str">
        <x:v>barcode</x:v>
      </x:c>
      <x:c r="C1" s="44" t="str">
        <x:v>codice_fornitore</x:v>
      </x:c>
      <x:c r="D1" s="44" t="str">
        <x:v>nome</x:v>
      </x:c>
      <x:c r="E1" s="44" t="str">
        <x:v>marca</x:v>
      </x:c>
      <x:c r="F1" s="44" t="str">
        <x:v>categoria</x:v>
      </x:c>
      <x:c r="G1" s="44" t="str">
        <x:v>sottocategoria</x:v>
      </x:c>
      <x:c r="H1" s="44" t="str">
        <x:v>prezzo_costo</x:v>
      </x:c>
      <x:c r="I1" s="44" t="str">
        <x:v>prezzo_vendita</x:v>
      </x:c>
      <x:c r="J1" s="44" t="str">
        <x:v>iva</x:v>
      </x:c>
      <x:c r="K1" s="44" t="str">
        <x:v>quantita</x:v>
      </x:c>
      <x:c r="L1" s="44" t="str">
        <x:v>scorta_minima</x:v>
      </x:c>
      <x:c r="M1" s="44" t="str">
        <x:v>scaffale</x:v>
      </x:c>
      <x:c r="N1" s="44" t="str">
        <x:v>corsia</x:v>
      </x:c>
      <x:c r="O1" s="44" t="str">
        <x:v>fornitore</x:v>
      </x:c>
      <x:c r="P1" s="44" t="str">
        <x:v>note</x:v>
      </x:c>
      <x:c r="Q1" s="44" t="str">
        <x:v>pagina_catalogo</x:v>
      </x:c>
      <x:c r="R1" s="44" t="str">
        <x:v>fonte</x:v>
      </x:c>
      <x:c r="S1" s="44" t="str">
        <x:v>pronto_import</x:v>
      </x:c>
      <x:c r="T1" s="44" t="str">
        <x:v>avvisi</x:v>
      </x:c>
    </x:row>
    <x:row r="2">
      <x:c r="A2" t="str">
        <x:f>'Catalogo Ferramenta'!A2</x:f>
        <x:v>BD-0001</x:v>
      </x:c>
      <x:c r="B2" t="str">
        <x:f>'Catalogo Ferramenta'!B2</x:f>
        <x:v>5011402713929</x:v>
      </x:c>
      <x:c r="C2" t="str">
        <x:f>'Catalogo Ferramenta'!C2</x:f>
        <x:v>A6046-XJ</x:v>
      </x:c>
      <x:c r="D2" t="str">
        <x:f>'Catalogo Ferramenta'!D2</x:f>
        <x:v>Filo Nylon 37,5 mt spessore 1,5 mm</x:v>
      </x:c>
      <x:c r="E2" t="str">
        <x:f>'Catalogo Ferramenta'!E2</x:f>
        <x:v>BLACK+DECKER</x:v>
      </x:c>
      <x:c r="F2" t="str">
        <x:f>'Catalogo Ferramenta'!F2</x:f>
        <x:v>GAMMA GIARDINO</x:v>
      </x:c>
      <x:c r="G2" t="str">
        <x:f>'Catalogo Ferramenta'!G2</x:f>
        <x:v>ACCESSORI GIARDINO</x:v>
      </x:c>
      <x:c r="H2" s="12" t="n">
        <x:f>IF('Catalogo Ferramenta'!H2="",0,'Catalogo Ferramenta'!H2)</x:f>
        <x:v>0</x:v>
      </x:c>
      <x:c r="I2" s="12" t="n">
        <x:f>IF('Catalogo Ferramenta'!I2="",0,'Catalogo Ferramenta'!I2)</x:f>
        <x:v>0</x:v>
      </x:c>
      <x:c r="J2" s="14" t="n">
        <x:f>IF('Catalogo Ferramenta'!J2="",22,'Catalogo Ferramenta'!J2)</x:f>
        <x:v>22</x:v>
      </x:c>
      <x:c r="K2" s="14" t="n">
        <x:f>IF('Catalogo Ferramenta'!K2="",0,'Catalogo Ferramenta'!K2)</x:f>
        <x:v>0</x:v>
      </x:c>
      <x:c r="L2" s="14" t="n">
        <x:f>1</x:f>
        <x:v>1</x:v>
      </x:c>
      <x:c r="M2" t="n">
        <x:f>'Catalogo Ferramenta'!L2</x:f>
        <x:v>0</x:v>
      </x:c>
      <x:c r="N2" t="n">
        <x:f>'Catalogo Ferramenta'!M2</x:f>
        <x:v>0</x:v>
      </x:c>
      <x:c r="O2" t="str">
        <x:f>'Catalogo Ferramenta'!N2</x:f>
        <x:v>BLACK+DECKER</x:v>
      </x:c>
      <x:c r="P2" t="str">
        <x:f>'Catalogo Ferramenta'!P2</x:f>
        <x:v>Catalogo Black+Decker Lo Specialista 2026, pagina 97. Prezzi se presenti: raccomandati dal catalogo.</x:v>
      </x:c>
      <x:c r="Q2" s="14" t="n">
        <x:f>'Catalogo Ferramenta'!R2</x:f>
        <x:v>97</x:v>
      </x:c>
      <x:c r="R2" t="str">
        <x:f>'Catalogo Ferramenta'!S2</x:f>
        <x:v>B+D_CATALOGO Lo Specialista 2026.pdf</x:v>
      </x:c>
      <x:c r="S2" s="45" t="b">
        <x:f>AND(D2&lt;&gt;"",B2&lt;&gt;"")</x:f>
        <x:v>1</x:v>
      </x:c>
      <x:c r="T2" t="str">
        <x:f>TEXTJOIN("; ",TRUE,IF(D2="","manca nome",""),IF(B2="","manca barcode",""),IF(H2=0,"prezzo costo da compilare",""),IF(I2=0,"prezzo vendita da compilare",""),IF(K2=0,"quantità da compilare",""))</x:f>
        <x:v>prezzo costo da compilare; prezzo vendita da compilare; quantità da compilare</x:v>
      </x:c>
    </x:row>
    <x:row r="3">
      <x:c r="A3" t="str">
        <x:f>'Catalogo Ferramenta'!A3</x:f>
        <x:v>BD-0002</x:v>
      </x:c>
      <x:c r="B3" t="str">
        <x:f>'Catalogo Ferramenta'!B3</x:f>
        <x:v>5035048561508</x:v>
      </x:c>
      <x:c r="C3" t="str">
        <x:f>'Catalogo Ferramenta'!C3</x:f>
        <x:v>A6125CSL-XJ</x:v>
      </x:c>
      <x:c r="D3" t="str">
        <x:f>'Catalogo Ferramenta'!D3</x:f>
        <x:v>Catena cromata 25 cm</x:v>
      </x:c>
      <x:c r="E3" t="str">
        <x:f>'Catalogo Ferramenta'!E3</x:f>
        <x:v>BLACK+DECKER</x:v>
      </x:c>
      <x:c r="F3" t="str">
        <x:f>'Catalogo Ferramenta'!F3</x:f>
        <x:v>GAMMA GIARDINO</x:v>
      </x:c>
      <x:c r="G3" t="str">
        <x:f>'Catalogo Ferramenta'!G3</x:f>
        <x:v>ACCESSORI GIARDINO</x:v>
      </x:c>
      <x:c r="H3" s="12" t="n">
        <x:f>IF('Catalogo Ferramenta'!H3="",0,'Catalogo Ferramenta'!H3)</x:f>
        <x:v>0</x:v>
      </x:c>
      <x:c r="I3" s="12" t="n">
        <x:f>IF('Catalogo Ferramenta'!I3="",0,'Catalogo Ferramenta'!I3)</x:f>
        <x:v>0</x:v>
      </x:c>
      <x:c r="J3" s="14" t="n">
        <x:f>IF('Catalogo Ferramenta'!J3="",22,'Catalogo Ferramenta'!J3)</x:f>
        <x:v>22</x:v>
      </x:c>
      <x:c r="K3" s="14" t="n">
        <x:f>IF('Catalogo Ferramenta'!K3="",0,'Catalogo Ferramenta'!K3)</x:f>
        <x:v>0</x:v>
      </x:c>
      <x:c r="L3" s="14" t="n">
        <x:f>1</x:f>
        <x:v>1</x:v>
      </x:c>
      <x:c r="M3" t="n">
        <x:f>'Catalogo Ferramenta'!L3</x:f>
        <x:v>0</x:v>
      </x:c>
      <x:c r="N3" t="n">
        <x:f>'Catalogo Ferramenta'!M3</x:f>
        <x:v>0</x:v>
      </x:c>
      <x:c r="O3" t="str">
        <x:f>'Catalogo Ferramenta'!N3</x:f>
        <x:v>BLACK+DECKER</x:v>
      </x:c>
      <x:c r="P3" t="str">
        <x:f>'Catalogo Ferramenta'!P3</x:f>
        <x:v>Catalogo Black+Decker Lo Specialista 2026, pagina 109. Prezzi se presenti: raccomandati dal catalogo.</x:v>
      </x:c>
      <x:c r="Q3" s="14" t="n">
        <x:f>'Catalogo Ferramenta'!R3</x:f>
        <x:v>109</x:v>
      </x:c>
      <x:c r="R3" t="str">
        <x:f>'Catalogo Ferramenta'!S3</x:f>
        <x:v>B+D_CATALOGO Lo Specialista 2026.pdf</x:v>
      </x:c>
      <x:c r="S3" s="45" t="b">
        <x:f>AND(D3&lt;&gt;"",B3&lt;&gt;"")</x:f>
        <x:v>1</x:v>
      </x:c>
      <x:c r="T3" t="str">
        <x:f>TEXTJOIN("; ",TRUE,IF(D3="","manca nome",""),IF(B3="","manca barcode",""),IF(H3=0,"prezzo costo da compilare",""),IF(I3=0,"prezzo vendita da compilare",""),IF(K3=0,"quantità da compilare",""))</x:f>
        <x:v>prezzo costo da compilare; prezzo vendita da compilare; quantità da compilare</x:v>
      </x:c>
    </x:row>
    <x:row r="4">
      <x:c r="A4" t="str">
        <x:f>'Catalogo Ferramenta'!A4</x:f>
        <x:v>BD-0003</x:v>
      </x:c>
      <x:c r="B4" t="str">
        <x:f>'Catalogo Ferramenta'!B4</x:f>
        <x:v>5035048561522</x:v>
      </x:c>
      <x:c r="C4" t="str">
        <x:f>'Catalogo Ferramenta'!C4</x:f>
        <x:v>A6130CSL-XJ</x:v>
      </x:c>
      <x:c r="D4" t="str">
        <x:f>'Catalogo Ferramenta'!D4</x:f>
        <x:v>Catena cromata 30 cm</x:v>
      </x:c>
      <x:c r="E4" t="str">
        <x:f>'Catalogo Ferramenta'!E4</x:f>
        <x:v>BLACK+DECKER</x:v>
      </x:c>
      <x:c r="F4" t="str">
        <x:f>'Catalogo Ferramenta'!F4</x:f>
        <x:v>GAMMA GIARDINO</x:v>
      </x:c>
      <x:c r="G4" t="str">
        <x:f>'Catalogo Ferramenta'!G4</x:f>
        <x:v>ACCESSORI GIARDINO</x:v>
      </x:c>
      <x:c r="H4" s="12" t="n">
        <x:f>IF('Catalogo Ferramenta'!H4="",0,'Catalogo Ferramenta'!H4)</x:f>
        <x:v>0</x:v>
      </x:c>
      <x:c r="I4" s="12" t="n">
        <x:f>IF('Catalogo Ferramenta'!I4="",0,'Catalogo Ferramenta'!I4)</x:f>
        <x:v>0</x:v>
      </x:c>
      <x:c r="J4" s="14" t="n">
        <x:f>IF('Catalogo Ferramenta'!J4="",22,'Catalogo Ferramenta'!J4)</x:f>
        <x:v>22</x:v>
      </x:c>
      <x:c r="K4" s="14" t="n">
        <x:f>IF('Catalogo Ferramenta'!K4="",0,'Catalogo Ferramenta'!K4)</x:f>
        <x:v>0</x:v>
      </x:c>
      <x:c r="L4" s="14" t="n">
        <x:f>1</x:f>
        <x:v>1</x:v>
      </x:c>
      <x:c r="M4" t="n">
        <x:f>'Catalogo Ferramenta'!L4</x:f>
        <x:v>0</x:v>
      </x:c>
      <x:c r="N4" t="n">
        <x:f>'Catalogo Ferramenta'!M4</x:f>
        <x:v>0</x:v>
      </x:c>
      <x:c r="O4" t="str">
        <x:f>'Catalogo Ferramenta'!N4</x:f>
        <x:v>BLACK+DECKER</x:v>
      </x:c>
      <x:c r="P4" t="str">
        <x:f>'Catalogo Ferramenta'!P4</x:f>
        <x:v>Catalogo Black+Decker Lo Specialista 2026, pagina 109. Prezzi se presenti: raccomandati dal catalogo.</x:v>
      </x:c>
      <x:c r="Q4" s="14" t="n">
        <x:f>'Catalogo Ferramenta'!R4</x:f>
        <x:v>109</x:v>
      </x:c>
      <x:c r="R4" t="str">
        <x:f>'Catalogo Ferramenta'!S4</x:f>
        <x:v>B+D_CATALOGO Lo Specialista 2026.pdf</x:v>
      </x:c>
      <x:c r="S4" s="45" t="b">
        <x:f>AND(D4&lt;&gt;"",B4&lt;&gt;"")</x:f>
        <x:v>1</x:v>
      </x:c>
      <x:c r="T4" t="str">
        <x:f>TEXTJOIN("; ",TRUE,IF(D4="","manca nome",""),IF(B4="","manca barcode",""),IF(H4=0,"prezzo costo da compilare",""),IF(I4=0,"prezzo vendita da compilare",""),IF(K4=0,"quantità da compilare",""))</x:f>
        <x:v>prezzo costo da compilare; prezzo vendita da compilare; quantità da compilare</x:v>
      </x:c>
    </x:row>
    <x:row r="5">
      <x:c r="A5" t="str">
        <x:f>'Catalogo Ferramenta'!A5</x:f>
        <x:v>BD-0004</x:v>
      </x:c>
      <x:c r="B5" t="str">
        <x:f>'Catalogo Ferramenta'!B5</x:f>
        <x:v>5035048148907</x:v>
      </x:c>
      <x:c r="C5" t="str">
        <x:f>'Catalogo Ferramenta'!C5</x:f>
        <x:v>A6150-XJ</x:v>
      </x:c>
      <x:c r="D5" t="str">
        <x:f>'Catalogo Ferramenta'!D5</x:f>
        <x:v>Catena cromata 10 cm</x:v>
      </x:c>
      <x:c r="E5" t="str">
        <x:f>'Catalogo Ferramenta'!E5</x:f>
        <x:v>BLACK+DECKER</x:v>
      </x:c>
      <x:c r="F5" t="str">
        <x:f>'Catalogo Ferramenta'!F5</x:f>
        <x:v>GAMMA GIARDINO</x:v>
      </x:c>
      <x:c r="G5" t="str">
        <x:f>'Catalogo Ferramenta'!G5</x:f>
        <x:v>ACCESSORI GIARDINO</x:v>
      </x:c>
      <x:c r="H5" s="12" t="n">
        <x:f>IF('Catalogo Ferramenta'!H5="",0,'Catalogo Ferramenta'!H5)</x:f>
        <x:v>0</x:v>
      </x:c>
      <x:c r="I5" s="12" t="n">
        <x:f>IF('Catalogo Ferramenta'!I5="",0,'Catalogo Ferramenta'!I5)</x:f>
        <x:v>0</x:v>
      </x:c>
      <x:c r="J5" s="14" t="n">
        <x:f>IF('Catalogo Ferramenta'!J5="",22,'Catalogo Ferramenta'!J5)</x:f>
        <x:v>22</x:v>
      </x:c>
      <x:c r="K5" s="14" t="n">
        <x:f>IF('Catalogo Ferramenta'!K5="",0,'Catalogo Ferramenta'!K5)</x:f>
        <x:v>0</x:v>
      </x:c>
      <x:c r="L5" s="14" t="n">
        <x:f>1</x:f>
        <x:v>1</x:v>
      </x:c>
      <x:c r="M5" t="n">
        <x:f>'Catalogo Ferramenta'!L5</x:f>
        <x:v>0</x:v>
      </x:c>
      <x:c r="N5" t="n">
        <x:f>'Catalogo Ferramenta'!M5</x:f>
        <x:v>0</x:v>
      </x:c>
      <x:c r="O5" t="str">
        <x:f>'Catalogo Ferramenta'!N5</x:f>
        <x:v>BLACK+DECKER</x:v>
      </x:c>
      <x:c r="P5" t="str">
        <x:f>'Catalogo Ferramenta'!P5</x:f>
        <x:v>Catalogo Black+Decker Lo Specialista 2026, pagina 109. Prezzi se presenti: raccomandati dal catalogo.</x:v>
      </x:c>
      <x:c r="Q5" s="14" t="n">
        <x:f>'Catalogo Ferramenta'!R5</x:f>
        <x:v>109</x:v>
      </x:c>
      <x:c r="R5" t="str">
        <x:f>'Catalogo Ferramenta'!S5</x:f>
        <x:v>B+D_CATALOGO Lo Specialista 2026.pdf</x:v>
      </x:c>
      <x:c r="S5" s="45" t="b">
        <x:f>AND(D5&lt;&gt;"",B5&lt;&gt;"")</x:f>
        <x:v>1</x:v>
      </x:c>
      <x:c r="T5" t="str">
        <x:f>TEXTJOIN("; ",TRUE,IF(D5="","manca nome",""),IF(B5="","manca barcode",""),IF(H5=0,"prezzo costo da compilare",""),IF(I5=0,"prezzo vendita da compilare",""),IF(K5=0,"quantità da compilare",""))</x:f>
        <x:v>prezzo costo da compilare; prezzo vendita da compilare; quantità da compilare</x:v>
      </x:c>
    </x:row>
    <x:row r="6">
      <x:c r="A6" t="str">
        <x:f>'Catalogo Ferramenta'!A6</x:f>
        <x:v>BD-0005</x:v>
      </x:c>
      <x:c r="B6" t="str">
        <x:f>'Catalogo Ferramenta'!B6</x:f>
        <x:v>5035048143032</x:v>
      </x:c>
      <x:c r="C6" t="str">
        <x:f>'Catalogo Ferramenta'!C6</x:f>
        <x:v>A6158-XJ</x:v>
      </x:c>
      <x:c r="D6" t="str">
        <x:f>'Catalogo Ferramenta'!D6</x:f>
        <x:v>Catena cromata 20 cm</x:v>
      </x:c>
      <x:c r="E6" t="str">
        <x:f>'Catalogo Ferramenta'!E6</x:f>
        <x:v>BLACK+DECKER</x:v>
      </x:c>
      <x:c r="F6" t="str">
        <x:f>'Catalogo Ferramenta'!F6</x:f>
        <x:v>GAMMA GIARDINO</x:v>
      </x:c>
      <x:c r="G6" t="str">
        <x:f>'Catalogo Ferramenta'!G6</x:f>
        <x:v>ACCESSORI GIARDINO</x:v>
      </x:c>
      <x:c r="H6" s="12" t="n">
        <x:f>IF('Catalogo Ferramenta'!H6="",0,'Catalogo Ferramenta'!H6)</x:f>
        <x:v>0</x:v>
      </x:c>
      <x:c r="I6" s="12" t="n">
        <x:f>IF('Catalogo Ferramenta'!I6="",0,'Catalogo Ferramenta'!I6)</x:f>
        <x:v>0</x:v>
      </x:c>
      <x:c r="J6" s="14" t="n">
        <x:f>IF('Catalogo Ferramenta'!J6="",22,'Catalogo Ferramenta'!J6)</x:f>
        <x:v>22</x:v>
      </x:c>
      <x:c r="K6" s="14" t="n">
        <x:f>IF('Catalogo Ferramenta'!K6="",0,'Catalogo Ferramenta'!K6)</x:f>
        <x:v>0</x:v>
      </x:c>
      <x:c r="L6" s="14" t="n">
        <x:f>1</x:f>
        <x:v>1</x:v>
      </x:c>
      <x:c r="M6" t="n">
        <x:f>'Catalogo Ferramenta'!L6</x:f>
        <x:v>0</x:v>
      </x:c>
      <x:c r="N6" t="n">
        <x:f>'Catalogo Ferramenta'!M6</x:f>
        <x:v>0</x:v>
      </x:c>
      <x:c r="O6" t="str">
        <x:f>'Catalogo Ferramenta'!N6</x:f>
        <x:v>BLACK+DECKER</x:v>
      </x:c>
      <x:c r="P6" t="str">
        <x:f>'Catalogo Ferramenta'!P6</x:f>
        <x:v>Catalogo Black+Decker Lo Specialista 2026, pagina 109. Prezzi se presenti: raccomandati dal catalogo.</x:v>
      </x:c>
      <x:c r="Q6" s="14" t="n">
        <x:f>'Catalogo Ferramenta'!R6</x:f>
        <x:v>109</x:v>
      </x:c>
      <x:c r="R6" t="str">
        <x:f>'Catalogo Ferramenta'!S6</x:f>
        <x:v>B+D_CATALOGO Lo Specialista 2026.pdf</x:v>
      </x:c>
      <x:c r="S6" s="45" t="b">
        <x:f>AND(D6&lt;&gt;"",B6&lt;&gt;"")</x:f>
        <x:v>1</x:v>
      </x:c>
      <x:c r="T6" t="str">
        <x:f>TEXTJOIN("; ",TRUE,IF(D6="","manca nome",""),IF(B6="","manca barcode",""),IF(H6=0,"prezzo costo da compilare",""),IF(I6=0,"prezzo vendita da compilare",""),IF(K6=0,"quantità da compilare",""))</x:f>
        <x:v>prezzo costo da compilare; prezzo vendita da compilare; quantità da compilare</x:v>
      </x:c>
    </x:row>
    <x:row r="7">
      <x:c r="A7" t="str">
        <x:f>'Catalogo Ferramenta'!A7</x:f>
        <x:v>BD-0006</x:v>
      </x:c>
      <x:c r="B7" t="str">
        <x:f>'Catalogo Ferramenta'!B7</x:f>
        <x:v>5035048561584</x:v>
      </x:c>
      <x:c r="C7" t="str">
        <x:f>'Catalogo Ferramenta'!C7</x:f>
        <x:v>A6225CS-XJ</x:v>
      </x:c>
      <x:c r="D7" t="str">
        <x:f>'Catalogo Ferramenta'!D7</x:f>
        <x:v>Catena cromata 25 cm</x:v>
      </x:c>
      <x:c r="E7" t="str">
        <x:f>'Catalogo Ferramenta'!E7</x:f>
        <x:v>BLACK+DECKER</x:v>
      </x:c>
      <x:c r="F7" t="str">
        <x:f>'Catalogo Ferramenta'!F7</x:f>
        <x:v>GAMMA GIARDINO</x:v>
      </x:c>
      <x:c r="G7" t="str">
        <x:f>'Catalogo Ferramenta'!G7</x:f>
        <x:v>ACCESSORI GIARDINO</x:v>
      </x:c>
      <x:c r="H7" s="12" t="n">
        <x:f>IF('Catalogo Ferramenta'!H7="",0,'Catalogo Ferramenta'!H7)</x:f>
        <x:v>0</x:v>
      </x:c>
      <x:c r="I7" s="12" t="n">
        <x:f>IF('Catalogo Ferramenta'!I7="",0,'Catalogo Ferramenta'!I7)</x:f>
        <x:v>0</x:v>
      </x:c>
      <x:c r="J7" s="14" t="n">
        <x:f>IF('Catalogo Ferramenta'!J7="",22,'Catalogo Ferramenta'!J7)</x:f>
        <x:v>22</x:v>
      </x:c>
      <x:c r="K7" s="14" t="n">
        <x:f>IF('Catalogo Ferramenta'!K7="",0,'Catalogo Ferramenta'!K7)</x:f>
        <x:v>0</x:v>
      </x:c>
      <x:c r="L7" s="14" t="n">
        <x:f>1</x:f>
        <x:v>1</x:v>
      </x:c>
      <x:c r="M7" t="n">
        <x:f>'Catalogo Ferramenta'!L7</x:f>
        <x:v>0</x:v>
      </x:c>
      <x:c r="N7" t="n">
        <x:f>'Catalogo Ferramenta'!M7</x:f>
        <x:v>0</x:v>
      </x:c>
      <x:c r="O7" t="str">
        <x:f>'Catalogo Ferramenta'!N7</x:f>
        <x:v>BLACK+DECKER</x:v>
      </x:c>
      <x:c r="P7" t="str">
        <x:f>'Catalogo Ferramenta'!P7</x:f>
        <x:v>Catalogo Black+Decker Lo Specialista 2026, pagina 109. Prezzi se presenti: raccomandati dal catalogo.</x:v>
      </x:c>
      <x:c r="Q7" s="14" t="n">
        <x:f>'Catalogo Ferramenta'!R7</x:f>
        <x:v>109</x:v>
      </x:c>
      <x:c r="R7" t="str">
        <x:f>'Catalogo Ferramenta'!S7</x:f>
        <x:v>B+D_CATALOGO Lo Specialista 2026.pdf</x:v>
      </x:c>
      <x:c r="S7" s="45" t="b">
        <x:f>AND(D7&lt;&gt;"",B7&lt;&gt;"")</x:f>
        <x:v>1</x:v>
      </x:c>
      <x:c r="T7" t="str">
        <x:f>TEXTJOIN("; ",TRUE,IF(D7="","manca nome",""),IF(B7="","manca barcode",""),IF(H7=0,"prezzo costo da compilare",""),IF(I7=0,"prezzo vendita da compilare",""),IF(K7=0,"quantità da compilare",""))</x:f>
        <x:v>prezzo costo da compilare; prezzo vendita da compilare; quantità da compilare</x:v>
      </x:c>
    </x:row>
    <x:row r="8">
      <x:c r="A8" t="str">
        <x:f>'Catalogo Ferramenta'!A8</x:f>
        <x:v>BD-0007</x:v>
      </x:c>
      <x:c r="B8" t="str">
        <x:f>'Catalogo Ferramenta'!B8</x:f>
        <x:v>5035048627808</x:v>
      </x:c>
      <x:c r="C8" t="str">
        <x:f>'Catalogo Ferramenta'!C8</x:f>
        <x:v>A6235CS-XJ</x:v>
      </x:c>
      <x:c r="D8" t="str">
        <x:f>'Catalogo Ferramenta'!D8</x:f>
        <x:v>Catena cromata 35cm</x:v>
      </x:c>
      <x:c r="E8" t="str">
        <x:f>'Catalogo Ferramenta'!E8</x:f>
        <x:v>BLACK+DECKER</x:v>
      </x:c>
      <x:c r="F8" t="str">
        <x:f>'Catalogo Ferramenta'!F8</x:f>
        <x:v>GAMMA GIARDINO</x:v>
      </x:c>
      <x:c r="G8" t="str">
        <x:f>'Catalogo Ferramenta'!G8</x:f>
        <x:v>ACCESSORI GIARDINO</x:v>
      </x:c>
      <x:c r="H8" s="12" t="n">
        <x:f>IF('Catalogo Ferramenta'!H8="",0,'Catalogo Ferramenta'!H8)</x:f>
        <x:v>0</x:v>
      </x:c>
      <x:c r="I8" s="12" t="n">
        <x:f>IF('Catalogo Ferramenta'!I8="",0,'Catalogo Ferramenta'!I8)</x:f>
        <x:v>0</x:v>
      </x:c>
      <x:c r="J8" s="14" t="n">
        <x:f>IF('Catalogo Ferramenta'!J8="",22,'Catalogo Ferramenta'!J8)</x:f>
        <x:v>22</x:v>
      </x:c>
      <x:c r="K8" s="14" t="n">
        <x:f>IF('Catalogo Ferramenta'!K8="",0,'Catalogo Ferramenta'!K8)</x:f>
        <x:v>0</x:v>
      </x:c>
      <x:c r="L8" s="14" t="n">
        <x:f>1</x:f>
        <x:v>1</x:v>
      </x:c>
      <x:c r="M8" t="n">
        <x:f>'Catalogo Ferramenta'!L8</x:f>
        <x:v>0</x:v>
      </x:c>
      <x:c r="N8" t="n">
        <x:f>'Catalogo Ferramenta'!M8</x:f>
        <x:v>0</x:v>
      </x:c>
      <x:c r="O8" t="str">
        <x:f>'Catalogo Ferramenta'!N8</x:f>
        <x:v>BLACK+DECKER</x:v>
      </x:c>
      <x:c r="P8" t="str">
        <x:f>'Catalogo Ferramenta'!P8</x:f>
        <x:v>Catalogo Black+Decker Lo Specialista 2026, pagina 109. Prezzi se presenti: raccomandati dal catalogo.</x:v>
      </x:c>
      <x:c r="Q8" s="14" t="n">
        <x:f>'Catalogo Ferramenta'!R8</x:f>
        <x:v>109</x:v>
      </x:c>
      <x:c r="R8" t="str">
        <x:f>'Catalogo Ferramenta'!S8</x:f>
        <x:v>B+D_CATALOGO Lo Specialista 2026.pdf</x:v>
      </x:c>
      <x:c r="S8" s="45" t="b">
        <x:f>AND(D8&lt;&gt;"",B8&lt;&gt;"")</x:f>
        <x:v>1</x:v>
      </x:c>
      <x:c r="T8" t="str">
        <x:f>TEXTJOIN("; ",TRUE,IF(D8="","manca nome",""),IF(B8="","manca barcode",""),IF(H8=0,"prezzo costo da compilare",""),IF(I8=0,"prezzo vendita da compilare",""),IF(K8=0,"quantità da compilare",""))</x:f>
        <x:v>prezzo costo da compilare; prezzo vendita da compilare; quantità da compilare</x:v>
      </x:c>
    </x:row>
    <x:row r="9">
      <x:c r="A9" t="str">
        <x:f>'Catalogo Ferramenta'!A9</x:f>
        <x:v>BD-0008</x:v>
      </x:c>
      <x:c r="B9" t="str">
        <x:f>'Catalogo Ferramenta'!B9</x:f>
        <x:v>5035048627822</x:v>
      </x:c>
      <x:c r="C9" t="str">
        <x:f>'Catalogo Ferramenta'!C9</x:f>
        <x:v>A6240CS-XJ</x:v>
      </x:c>
      <x:c r="D9" t="str">
        <x:f>'Catalogo Ferramenta'!D9</x:f>
        <x:v>Catena cromata 40 cm</x:v>
      </x:c>
      <x:c r="E9" t="str">
        <x:f>'Catalogo Ferramenta'!E9</x:f>
        <x:v>BLACK+DECKER</x:v>
      </x:c>
      <x:c r="F9" t="str">
        <x:f>'Catalogo Ferramenta'!F9</x:f>
        <x:v>GAMMA GIARDINO</x:v>
      </x:c>
      <x:c r="G9" t="str">
        <x:f>'Catalogo Ferramenta'!G9</x:f>
        <x:v>ACCESSORI GIARDINO</x:v>
      </x:c>
      <x:c r="H9" s="12" t="n">
        <x:f>IF('Catalogo Ferramenta'!H9="",0,'Catalogo Ferramenta'!H9)</x:f>
        <x:v>0</x:v>
      </x:c>
      <x:c r="I9" s="12" t="n">
        <x:f>IF('Catalogo Ferramenta'!I9="",0,'Catalogo Ferramenta'!I9)</x:f>
        <x:v>0</x:v>
      </x:c>
      <x:c r="J9" s="14" t="n">
        <x:f>IF('Catalogo Ferramenta'!J9="",22,'Catalogo Ferramenta'!J9)</x:f>
        <x:v>22</x:v>
      </x:c>
      <x:c r="K9" s="14" t="n">
        <x:f>IF('Catalogo Ferramenta'!K9="",0,'Catalogo Ferramenta'!K9)</x:f>
        <x:v>0</x:v>
      </x:c>
      <x:c r="L9" s="14" t="n">
        <x:f>1</x:f>
        <x:v>1</x:v>
      </x:c>
      <x:c r="M9" t="n">
        <x:f>'Catalogo Ferramenta'!L9</x:f>
        <x:v>0</x:v>
      </x:c>
      <x:c r="N9" t="n">
        <x:f>'Catalogo Ferramenta'!M9</x:f>
        <x:v>0</x:v>
      </x:c>
      <x:c r="O9" t="str">
        <x:f>'Catalogo Ferramenta'!N9</x:f>
        <x:v>BLACK+DECKER</x:v>
      </x:c>
      <x:c r="P9" t="str">
        <x:f>'Catalogo Ferramenta'!P9</x:f>
        <x:v>Catalogo Black+Decker Lo Specialista 2026, pagina 109. Prezzi se presenti: raccomandati dal catalogo.</x:v>
      </x:c>
      <x:c r="Q9" s="14" t="n">
        <x:f>'Catalogo Ferramenta'!R9</x:f>
        <x:v>109</x:v>
      </x:c>
      <x:c r="R9" t="str">
        <x:f>'Catalogo Ferramenta'!S9</x:f>
        <x:v>B+D_CATALOGO Lo Specialista 2026.pdf</x:v>
      </x:c>
      <x:c r="S9" s="45" t="b">
        <x:f>AND(D9&lt;&gt;"",B9&lt;&gt;"")</x:f>
        <x:v>1</x:v>
      </x:c>
      <x:c r="T9" t="str">
        <x:f>TEXTJOIN("; ",TRUE,IF(D9="","manca nome",""),IF(B9="","manca barcode",""),IF(H9=0,"prezzo costo da compilare",""),IF(I9=0,"prezzo vendita da compilare",""),IF(K9=0,"quantità da compilare",""))</x:f>
        <x:v>prezzo costo da compilare; prezzo vendita da compilare; quantità da compilare</x:v>
      </x:c>
    </x:row>
    <x:row r="10">
      <x:c r="A10" t="str">
        <x:f>'Catalogo Ferramenta'!A10</x:f>
        <x:v>BD-0009</x:v>
      </x:c>
      <x:c r="B10" t="str">
        <x:f>'Catalogo Ferramenta'!B10</x:f>
        <x:v>5035048561546</x:v>
      </x:c>
      <x:c r="C10" t="str">
        <x:f>'Catalogo Ferramenta'!C10</x:f>
        <x:v>A6245CS-XJ</x:v>
      </x:c>
      <x:c r="D10" t="str">
        <x:f>'Catalogo Ferramenta'!D10</x:f>
        <x:v>Catena cromata 45 cm</x:v>
      </x:c>
      <x:c r="E10" t="str">
        <x:f>'Catalogo Ferramenta'!E10</x:f>
        <x:v>BLACK+DECKER</x:v>
      </x:c>
      <x:c r="F10" t="str">
        <x:f>'Catalogo Ferramenta'!F10</x:f>
        <x:v>GAMMA GIARDINO</x:v>
      </x:c>
      <x:c r="G10" t="str">
        <x:f>'Catalogo Ferramenta'!G10</x:f>
        <x:v>ACCESSORI GIARDINO</x:v>
      </x:c>
      <x:c r="H10" s="12" t="n">
        <x:f>IF('Catalogo Ferramenta'!H10="",0,'Catalogo Ferramenta'!H10)</x:f>
        <x:v>0</x:v>
      </x:c>
      <x:c r="I10" s="12" t="n">
        <x:f>IF('Catalogo Ferramenta'!I10="",0,'Catalogo Ferramenta'!I10)</x:f>
        <x:v>0</x:v>
      </x:c>
      <x:c r="J10" s="14" t="n">
        <x:f>IF('Catalogo Ferramenta'!J10="",22,'Catalogo Ferramenta'!J10)</x:f>
        <x:v>22</x:v>
      </x:c>
      <x:c r="K10" s="14" t="n">
        <x:f>IF('Catalogo Ferramenta'!K10="",0,'Catalogo Ferramenta'!K10)</x:f>
        <x:v>0</x:v>
      </x:c>
      <x:c r="L10" s="14" t="n">
        <x:f>1</x:f>
        <x:v>1</x:v>
      </x:c>
      <x:c r="M10" t="n">
        <x:f>'Catalogo Ferramenta'!L10</x:f>
        <x:v>0</x:v>
      </x:c>
      <x:c r="N10" t="n">
        <x:f>'Catalogo Ferramenta'!M10</x:f>
        <x:v>0</x:v>
      </x:c>
      <x:c r="O10" t="str">
        <x:f>'Catalogo Ferramenta'!N10</x:f>
        <x:v>BLACK+DECKER</x:v>
      </x:c>
      <x:c r="P10" t="str">
        <x:f>'Catalogo Ferramenta'!P10</x:f>
        <x:v>Catalogo Black+Decker Lo Specialista 2026, pagina 109. Prezzi se presenti: raccomandati dal catalogo.</x:v>
      </x:c>
      <x:c r="Q10" s="14" t="n">
        <x:f>'Catalogo Ferramenta'!R10</x:f>
        <x:v>109</x:v>
      </x:c>
      <x:c r="R10" t="str">
        <x:f>'Catalogo Ferramenta'!S10</x:f>
        <x:v>B+D_CATALOGO Lo Specialista 2026.pdf</x:v>
      </x:c>
      <x:c r="S10" s="45" t="b">
        <x:f>AND(D10&lt;&gt;"",B10&lt;&gt;"")</x:f>
        <x:v>1</x:v>
      </x:c>
      <x:c r="T10" t="str">
        <x:f>TEXTJOIN("; ",TRUE,IF(D10="","manca nome",""),IF(B10="","manca barcode",""),IF(H10=0,"prezzo costo da compilare",""),IF(I10=0,"prezzo vendita da compilare",""),IF(K10=0,"quantità da compilare",""))</x:f>
        <x:v>prezzo costo da compilare; prezzo vendita da compilare; quantità da compilare</x:v>
      </x:c>
    </x:row>
    <x:row r="11">
      <x:c r="A11" t="str">
        <x:f>'Catalogo Ferramenta'!A11</x:f>
        <x:v>BD-0010</x:v>
      </x:c>
      <x:c r="B11" t="str">
        <x:f>'Catalogo Ferramenta'!B11</x:f>
        <x:v>5035048692509</x:v>
      </x:c>
      <x:c r="C11" t="str">
        <x:f>'Catalogo Ferramenta'!C11</x:f>
        <x:v>A6319-XJ</x:v>
      </x:c>
      <x:c r="D11" t="str">
        <x:f>'Catalogo Ferramenta'!D11</x:f>
        <x:v>Lama per rasaerba BEMW 32 cm</x:v>
      </x:c>
      <x:c r="E11" t="str">
        <x:f>'Catalogo Ferramenta'!E11</x:f>
        <x:v>BLACK+DECKER</x:v>
      </x:c>
      <x:c r="F11" t="str">
        <x:f>'Catalogo Ferramenta'!F11</x:f>
        <x:v>GAMMA GIARDINO</x:v>
      </x:c>
      <x:c r="G11" t="str">
        <x:f>'Catalogo Ferramenta'!G11</x:f>
        <x:v>ACCESSORI GIARDINO</x:v>
      </x:c>
      <x:c r="H11" s="12" t="n">
        <x:f>IF('Catalogo Ferramenta'!H11="",0,'Catalogo Ferramenta'!H11)</x:f>
        <x:v>0</x:v>
      </x:c>
      <x:c r="I11" s="12" t="n">
        <x:f>IF('Catalogo Ferramenta'!I11="",0,'Catalogo Ferramenta'!I11)</x:f>
        <x:v>0</x:v>
      </x:c>
      <x:c r="J11" s="14" t="n">
        <x:f>IF('Catalogo Ferramenta'!J11="",22,'Catalogo Ferramenta'!J11)</x:f>
        <x:v>22</x:v>
      </x:c>
      <x:c r="K11" s="14" t="n">
        <x:f>IF('Catalogo Ferramenta'!K11="",0,'Catalogo Ferramenta'!K11)</x:f>
        <x:v>0</x:v>
      </x:c>
      <x:c r="L11" s="14" t="n">
        <x:f>1</x:f>
        <x:v>1</x:v>
      </x:c>
      <x:c r="M11" t="n">
        <x:f>'Catalogo Ferramenta'!L11</x:f>
        <x:v>0</x:v>
      </x:c>
      <x:c r="N11" t="n">
        <x:f>'Catalogo Ferramenta'!M11</x:f>
        <x:v>0</x:v>
      </x:c>
      <x:c r="O11" t="str">
        <x:f>'Catalogo Ferramenta'!N11</x:f>
        <x:v>BLACK+DECKER</x:v>
      </x:c>
      <x:c r="P11" t="str">
        <x:f>'Catalogo Ferramenta'!P11</x:f>
        <x:v>Catalogo Black+Decker Lo Specialista 2026, pagina 86. Prezzi se presenti: raccomandati dal catalogo.</x:v>
      </x:c>
      <x:c r="Q11" s="14" t="n">
        <x:f>'Catalogo Ferramenta'!R11</x:f>
        <x:v>86</x:v>
      </x:c>
      <x:c r="R11" t="str">
        <x:f>'Catalogo Ferramenta'!S11</x:f>
        <x:v>B+D_CATALOGO Lo Specialista 2026.pdf</x:v>
      </x:c>
      <x:c r="S11" s="45" t="b">
        <x:f>AND(D11&lt;&gt;"",B11&lt;&gt;"")</x:f>
        <x:v>1</x:v>
      </x:c>
      <x:c r="T11" t="str">
        <x:f>TEXTJOIN("; ",TRUE,IF(D11="","manca nome",""),IF(B11="","manca barcode",""),IF(H11=0,"prezzo costo da compilare",""),IF(I11=0,"prezzo vendita da compilare",""),IF(K11=0,"quantità da compilare",""))</x:f>
        <x:v>prezzo costo da compilare; prezzo vendita da compilare; quantità da compilare</x:v>
      </x:c>
    </x:row>
    <x:row r="12">
      <x:c r="A12" t="str">
        <x:f>'Catalogo Ferramenta'!A12</x:f>
        <x:v>BD-0011</x:v>
      </x:c>
      <x:c r="B12" t="str">
        <x:f>'Catalogo Ferramenta'!B12</x:f>
        <x:v>5035048692516</x:v>
      </x:c>
      <x:c r="C12" t="str">
        <x:f>'Catalogo Ferramenta'!C12</x:f>
        <x:v>A6320-XJ</x:v>
      </x:c>
      <x:c r="D12" t="str">
        <x:f>'Catalogo Ferramenta'!D12</x:f>
        <x:v>Lama per rasaerba BEMW 34 cm</x:v>
      </x:c>
      <x:c r="E12" t="str">
        <x:f>'Catalogo Ferramenta'!E12</x:f>
        <x:v>BLACK+DECKER</x:v>
      </x:c>
      <x:c r="F12" t="str">
        <x:f>'Catalogo Ferramenta'!F12</x:f>
        <x:v>GAMMA GIARDINO</x:v>
      </x:c>
      <x:c r="G12" t="str">
        <x:f>'Catalogo Ferramenta'!G12</x:f>
        <x:v>ACCESSORI GIARDINO</x:v>
      </x:c>
      <x:c r="H12" s="12" t="n">
        <x:f>IF('Catalogo Ferramenta'!H12="",0,'Catalogo Ferramenta'!H12)</x:f>
        <x:v>0</x:v>
      </x:c>
      <x:c r="I12" s="12" t="n">
        <x:f>IF('Catalogo Ferramenta'!I12="",0,'Catalogo Ferramenta'!I12)</x:f>
        <x:v>0</x:v>
      </x:c>
      <x:c r="J12" s="14" t="n">
        <x:f>IF('Catalogo Ferramenta'!J12="",22,'Catalogo Ferramenta'!J12)</x:f>
        <x:v>22</x:v>
      </x:c>
      <x:c r="K12" s="14" t="n">
        <x:f>IF('Catalogo Ferramenta'!K12="",0,'Catalogo Ferramenta'!K12)</x:f>
        <x:v>0</x:v>
      </x:c>
      <x:c r="L12" s="14" t="n">
        <x:f>1</x:f>
        <x:v>1</x:v>
      </x:c>
      <x:c r="M12" t="n">
        <x:f>'Catalogo Ferramenta'!L12</x:f>
        <x:v>0</x:v>
      </x:c>
      <x:c r="N12" t="n">
        <x:f>'Catalogo Ferramenta'!M12</x:f>
        <x:v>0</x:v>
      </x:c>
      <x:c r="O12" t="str">
        <x:f>'Catalogo Ferramenta'!N12</x:f>
        <x:v>BLACK+DECKER</x:v>
      </x:c>
      <x:c r="P12" t="str">
        <x:f>'Catalogo Ferramenta'!P12</x:f>
        <x:v>Catalogo Black+Decker Lo Specialista 2026, pagina 86. Prezzi se presenti: raccomandati dal catalogo.</x:v>
      </x:c>
      <x:c r="Q12" s="14" t="n">
        <x:f>'Catalogo Ferramenta'!R12</x:f>
        <x:v>86</x:v>
      </x:c>
      <x:c r="R12" t="str">
        <x:f>'Catalogo Ferramenta'!S12</x:f>
        <x:v>B+D_CATALOGO Lo Specialista 2026.pdf</x:v>
      </x:c>
      <x:c r="S12" s="45" t="b">
        <x:f>AND(D12&lt;&gt;"",B12&lt;&gt;"")</x:f>
        <x:v>1</x:v>
      </x:c>
      <x:c r="T12" t="str">
        <x:f>TEXTJOIN("; ",TRUE,IF(D12="","manca nome",""),IF(B12="","manca barcode",""),IF(H12=0,"prezzo costo da compilare",""),IF(I12=0,"prezzo vendita da compilare",""),IF(K12=0,"quantità da compilare",""))</x:f>
        <x:v>prezzo costo da compilare; prezzo vendita da compilare; quantità da compilare</x:v>
      </x:c>
    </x:row>
    <x:row r="13">
      <x:c r="A13" t="str">
        <x:f>'Catalogo Ferramenta'!A13</x:f>
        <x:v>BD-0012</x:v>
      </x:c>
      <x:c r="B13" t="str">
        <x:f>'Catalogo Ferramenta'!B13</x:f>
        <x:v>5035048692523</x:v>
      </x:c>
      <x:c r="C13" t="str">
        <x:f>'Catalogo Ferramenta'!C13</x:f>
        <x:v>A6321-XJ</x:v>
      </x:c>
      <x:c r="D13" t="str">
        <x:f>'Catalogo Ferramenta'!D13</x:f>
        <x:v>Lama per rasaerba BEMW 38 cm</x:v>
      </x:c>
      <x:c r="E13" t="str">
        <x:f>'Catalogo Ferramenta'!E13</x:f>
        <x:v>BLACK+DECKER</x:v>
      </x:c>
      <x:c r="F13" t="str">
        <x:f>'Catalogo Ferramenta'!F13</x:f>
        <x:v>GAMMA GIARDINO</x:v>
      </x:c>
      <x:c r="G13" t="str">
        <x:f>'Catalogo Ferramenta'!G13</x:f>
        <x:v>ACCESSORI GIARDINO</x:v>
      </x:c>
      <x:c r="H13" s="12" t="n">
        <x:f>IF('Catalogo Ferramenta'!H13="",0,'Catalogo Ferramenta'!H13)</x:f>
        <x:v>0</x:v>
      </x:c>
      <x:c r="I13" s="12" t="n">
        <x:f>IF('Catalogo Ferramenta'!I13="",0,'Catalogo Ferramenta'!I13)</x:f>
        <x:v>0</x:v>
      </x:c>
      <x:c r="J13" s="14" t="n">
        <x:f>IF('Catalogo Ferramenta'!J13="",22,'Catalogo Ferramenta'!J13)</x:f>
        <x:v>22</x:v>
      </x:c>
      <x:c r="K13" s="14" t="n">
        <x:f>IF('Catalogo Ferramenta'!K13="",0,'Catalogo Ferramenta'!K13)</x:f>
        <x:v>0</x:v>
      </x:c>
      <x:c r="L13" s="14" t="n">
        <x:f>1</x:f>
        <x:v>1</x:v>
      </x:c>
      <x:c r="M13" t="n">
        <x:f>'Catalogo Ferramenta'!L13</x:f>
        <x:v>0</x:v>
      </x:c>
      <x:c r="N13" t="n">
        <x:f>'Catalogo Ferramenta'!M13</x:f>
        <x:v>0</x:v>
      </x:c>
      <x:c r="O13" t="str">
        <x:f>'Catalogo Ferramenta'!N13</x:f>
        <x:v>BLACK+DECKER</x:v>
      </x:c>
      <x:c r="P13" t="str">
        <x:f>'Catalogo Ferramenta'!P13</x:f>
        <x:v>Catalogo Black+Decker Lo Specialista 2026, pagina 86. Prezzi se presenti: raccomandati dal catalogo.</x:v>
      </x:c>
      <x:c r="Q13" s="14" t="n">
        <x:f>'Catalogo Ferramenta'!R13</x:f>
        <x:v>86</x:v>
      </x:c>
      <x:c r="R13" t="str">
        <x:f>'Catalogo Ferramenta'!S13</x:f>
        <x:v>B+D_CATALOGO Lo Specialista 2026.pdf</x:v>
      </x:c>
      <x:c r="S13" s="45" t="b">
        <x:f>AND(D13&lt;&gt;"",B13&lt;&gt;"")</x:f>
        <x:v>1</x:v>
      </x:c>
      <x:c r="T13" t="str">
        <x:f>TEXTJOIN("; ",TRUE,IF(D13="","manca nome",""),IF(B13="","manca barcode",""),IF(H13=0,"prezzo costo da compilare",""),IF(I13=0,"prezzo vendita da compilare",""),IF(K13=0,"quantità da compilare",""))</x:f>
        <x:v>prezzo costo da compilare; prezzo vendita da compilare; quantità da compilare</x:v>
      </x:c>
    </x:row>
    <x:row r="14">
      <x:c r="A14" t="str">
        <x:f>'Catalogo Ferramenta'!A14</x:f>
        <x:v>BD-0013</x:v>
      </x:c>
      <x:c r="B14" t="str">
        <x:f>'Catalogo Ferramenta'!B14</x:f>
        <x:v>5035048692530</x:v>
      </x:c>
      <x:c r="C14" t="str">
        <x:f>'Catalogo Ferramenta'!C14</x:f>
        <x:v>A6322-XJ</x:v>
      </x:c>
      <x:c r="D14" t="str">
        <x:f>'Catalogo Ferramenta'!D14</x:f>
        <x:v>Lama per rasaerba BEMW 42 cm</x:v>
      </x:c>
      <x:c r="E14" t="str">
        <x:f>'Catalogo Ferramenta'!E14</x:f>
        <x:v>BLACK+DECKER</x:v>
      </x:c>
      <x:c r="F14" t="str">
        <x:f>'Catalogo Ferramenta'!F14</x:f>
        <x:v>GAMMA GIARDINO</x:v>
      </x:c>
      <x:c r="G14" t="str">
        <x:f>'Catalogo Ferramenta'!G14</x:f>
        <x:v>ACCESSORI GIARDINO</x:v>
      </x:c>
      <x:c r="H14" s="12" t="n">
        <x:f>IF('Catalogo Ferramenta'!H14="",0,'Catalogo Ferramenta'!H14)</x:f>
        <x:v>0</x:v>
      </x:c>
      <x:c r="I14" s="12" t="n">
        <x:f>IF('Catalogo Ferramenta'!I14="",0,'Catalogo Ferramenta'!I14)</x:f>
        <x:v>0</x:v>
      </x:c>
      <x:c r="J14" s="14" t="n">
        <x:f>IF('Catalogo Ferramenta'!J14="",22,'Catalogo Ferramenta'!J14)</x:f>
        <x:v>22</x:v>
      </x:c>
      <x:c r="K14" s="14" t="n">
        <x:f>IF('Catalogo Ferramenta'!K14="",0,'Catalogo Ferramenta'!K14)</x:f>
        <x:v>0</x:v>
      </x:c>
      <x:c r="L14" s="14" t="n">
        <x:f>1</x:f>
        <x:v>1</x:v>
      </x:c>
      <x:c r="M14" t="n">
        <x:f>'Catalogo Ferramenta'!L14</x:f>
        <x:v>0</x:v>
      </x:c>
      <x:c r="N14" t="n">
        <x:f>'Catalogo Ferramenta'!M14</x:f>
        <x:v>0</x:v>
      </x:c>
      <x:c r="O14" t="str">
        <x:f>'Catalogo Ferramenta'!N14</x:f>
        <x:v>BLACK+DECKER</x:v>
      </x:c>
      <x:c r="P14" t="str">
        <x:f>'Catalogo Ferramenta'!P14</x:f>
        <x:v>Catalogo Black+Decker Lo Specialista 2026, pagina 86. Prezzi se presenti: raccomandati dal catalogo.</x:v>
      </x:c>
      <x:c r="Q14" s="14" t="n">
        <x:f>'Catalogo Ferramenta'!R14</x:f>
        <x:v>86</x:v>
      </x:c>
      <x:c r="R14" t="str">
        <x:f>'Catalogo Ferramenta'!S14</x:f>
        <x:v>B+D_CATALOGO Lo Specialista 2026.pdf</x:v>
      </x:c>
      <x:c r="S14" s="45" t="b">
        <x:f>AND(D14&lt;&gt;"",B14&lt;&gt;"")</x:f>
        <x:v>1</x:v>
      </x:c>
      <x:c r="T14" t="str">
        <x:f>TEXTJOIN("; ",TRUE,IF(D14="","manca nome",""),IF(B14="","manca barcode",""),IF(H14=0,"prezzo costo da compilare",""),IF(I14=0,"prezzo vendita da compilare",""),IF(K14=0,"quantità da compilare",""))</x:f>
        <x:v>prezzo costo da compilare; prezzo vendita da compilare; quantità da compilare</x:v>
      </x:c>
    </x:row>
    <x:row r="15">
      <x:c r="A15" t="str">
        <x:f>'Catalogo Ferramenta'!A15</x:f>
        <x:v>BD-0014</x:v>
      </x:c>
      <x:c r="B15" t="str">
        <x:f>'Catalogo Ferramenta'!B15</x:f>
        <x:v>5035048715307</x:v>
      </x:c>
      <x:c r="C15" t="str">
        <x:f>'Catalogo Ferramenta'!C15</x:f>
        <x:v>A6323-XJ</x:v>
      </x:c>
      <x:c r="D15" t="str">
        <x:f>'Catalogo Ferramenta'!D15</x:f>
        <x:v>Lama per rasaerba BEMW 32 cm</x:v>
      </x:c>
      <x:c r="E15" t="str">
        <x:f>'Catalogo Ferramenta'!E15</x:f>
        <x:v>BLACK+DECKER</x:v>
      </x:c>
      <x:c r="F15" t="str">
        <x:f>'Catalogo Ferramenta'!F15</x:f>
        <x:v>GAMMA GIARDINO</x:v>
      </x:c>
      <x:c r="G15" t="str">
        <x:f>'Catalogo Ferramenta'!G15</x:f>
        <x:v>ACCESSORI GIARDINO</x:v>
      </x:c>
      <x:c r="H15" s="12" t="n">
        <x:f>IF('Catalogo Ferramenta'!H15="",0,'Catalogo Ferramenta'!H15)</x:f>
        <x:v>0</x:v>
      </x:c>
      <x:c r="I15" s="12" t="n">
        <x:f>IF('Catalogo Ferramenta'!I15="",0,'Catalogo Ferramenta'!I15)</x:f>
        <x:v>0</x:v>
      </x:c>
      <x:c r="J15" s="14" t="n">
        <x:f>IF('Catalogo Ferramenta'!J15="",22,'Catalogo Ferramenta'!J15)</x:f>
        <x:v>22</x:v>
      </x:c>
      <x:c r="K15" s="14" t="n">
        <x:f>IF('Catalogo Ferramenta'!K15="",0,'Catalogo Ferramenta'!K15)</x:f>
        <x:v>0</x:v>
      </x:c>
      <x:c r="L15" s="14" t="n">
        <x:f>1</x:f>
        <x:v>1</x:v>
      </x:c>
      <x:c r="M15" t="n">
        <x:f>'Catalogo Ferramenta'!L15</x:f>
        <x:v>0</x:v>
      </x:c>
      <x:c r="N15" t="n">
        <x:f>'Catalogo Ferramenta'!M15</x:f>
        <x:v>0</x:v>
      </x:c>
      <x:c r="O15" t="str">
        <x:f>'Catalogo Ferramenta'!N15</x:f>
        <x:v>BLACK+DECKER</x:v>
      </x:c>
      <x:c r="P15" t="str">
        <x:f>'Catalogo Ferramenta'!P15</x:f>
        <x:v>Catalogo Black+Decker Lo Specialista 2026, pagina 86. Prezzi se presenti: raccomandati dal catalogo.</x:v>
      </x:c>
      <x:c r="Q15" s="14" t="n">
        <x:f>'Catalogo Ferramenta'!R15</x:f>
        <x:v>86</x:v>
      </x:c>
      <x:c r="R15" t="str">
        <x:f>'Catalogo Ferramenta'!S15</x:f>
        <x:v>B+D_CATALOGO Lo Specialista 2026.pdf</x:v>
      </x:c>
      <x:c r="S15" s="45" t="b">
        <x:f>AND(D15&lt;&gt;"",B15&lt;&gt;"")</x:f>
        <x:v>1</x:v>
      </x:c>
      <x:c r="T15" t="str">
        <x:f>TEXTJOIN("; ",TRUE,IF(D15="","manca nome",""),IF(B15="","manca barcode",""),IF(H15=0,"prezzo costo da compilare",""),IF(I15=0,"prezzo vendita da compilare",""),IF(K15=0,"quantità da compilare",""))</x:f>
        <x:v>prezzo costo da compilare; prezzo vendita da compilare; quantità da compilare</x:v>
      </x:c>
    </x:row>
    <x:row r="16">
      <x:c r="A16" t="str">
        <x:f>'Catalogo Ferramenta'!A16</x:f>
        <x:v>BD-0015</x:v>
      </x:c>
      <x:c r="B16" t="str">
        <x:f>'Catalogo Ferramenta'!B16</x:f>
        <x:v>5035048715321</x:v>
      </x:c>
      <x:c r="C16" t="str">
        <x:f>'Catalogo Ferramenta'!C16</x:f>
        <x:v>A6324X10-XJ</x:v>
      </x:c>
      <x:c r="D16" t="str">
        <x:f>'Catalogo Ferramenta'!D16</x:f>
        <x:v>Pack da 10 lame per rasaerba a cuscino d'aria (cod. BEMWH551-QS)</x:v>
      </x:c>
      <x:c r="E16" t="str">
        <x:f>'Catalogo Ferramenta'!E16</x:f>
        <x:v>BLACK+DECKER</x:v>
      </x:c>
      <x:c r="F16" t="str">
        <x:f>'Catalogo Ferramenta'!F16</x:f>
        <x:v>GAMMA GIARDINO</x:v>
      </x:c>
      <x:c r="G16" t="str">
        <x:f>'Catalogo Ferramenta'!G16</x:f>
        <x:v>ACCESSORI GIARDINO</x:v>
      </x:c>
      <x:c r="H16" s="12" t="n">
        <x:f>IF('Catalogo Ferramenta'!H16="",0,'Catalogo Ferramenta'!H16)</x:f>
        <x:v>0</x:v>
      </x:c>
      <x:c r="I16" s="12" t="n">
        <x:f>IF('Catalogo Ferramenta'!I16="",0,'Catalogo Ferramenta'!I16)</x:f>
        <x:v>0</x:v>
      </x:c>
      <x:c r="J16" s="14" t="n">
        <x:f>IF('Catalogo Ferramenta'!J16="",22,'Catalogo Ferramenta'!J16)</x:f>
        <x:v>22</x:v>
      </x:c>
      <x:c r="K16" s="14" t="n">
        <x:f>IF('Catalogo Ferramenta'!K16="",0,'Catalogo Ferramenta'!K16)</x:f>
        <x:v>0</x:v>
      </x:c>
      <x:c r="L16" s="14" t="n">
        <x:f>1</x:f>
        <x:v>1</x:v>
      </x:c>
      <x:c r="M16" t="n">
        <x:f>'Catalogo Ferramenta'!L16</x:f>
        <x:v>0</x:v>
      </x:c>
      <x:c r="N16" t="n">
        <x:f>'Catalogo Ferramenta'!M16</x:f>
        <x:v>0</x:v>
      </x:c>
      <x:c r="O16" t="str">
        <x:f>'Catalogo Ferramenta'!N16</x:f>
        <x:v>BLACK+DECKER</x:v>
      </x:c>
      <x:c r="P16" t="str">
        <x:f>'Catalogo Ferramenta'!P16</x:f>
        <x:v>Catalogo Black+Decker Lo Specialista 2026, pagina 86. Prezzi se presenti: raccomandati dal catalogo.</x:v>
      </x:c>
      <x:c r="Q16" s="14" t="n">
        <x:f>'Catalogo Ferramenta'!R16</x:f>
        <x:v>86</x:v>
      </x:c>
      <x:c r="R16" t="str">
        <x:f>'Catalogo Ferramenta'!S16</x:f>
        <x:v>B+D_CATALOGO Lo Specialista 2026.pdf</x:v>
      </x:c>
      <x:c r="S16" s="45" t="b">
        <x:f>AND(D16&lt;&gt;"",B16&lt;&gt;"")</x:f>
        <x:v>1</x:v>
      </x:c>
      <x:c r="T16" t="str">
        <x:f>TEXTJOIN("; ",TRUE,IF(D16="","manca nome",""),IF(B16="","manca barcode",""),IF(H16=0,"prezzo costo da compilare",""),IF(I16=0,"prezzo vendita da compilare",""),IF(K16=0,"quantità da compilare",""))</x:f>
        <x:v>prezzo costo da compilare; prezzo vendita da compilare; quantità da compilare</x:v>
      </x:c>
    </x:row>
    <x:row r="17">
      <x:c r="A17" t="str">
        <x:f>'Catalogo Ferramenta'!A17</x:f>
        <x:v>BD-0016</x:v>
      </x:c>
      <x:c r="B17" t="str">
        <x:f>'Catalogo Ferramenta'!B17</x:f>
        <x:v>5035048715345</x:v>
      </x:c>
      <x:c r="C17" t="str">
        <x:f>'Catalogo Ferramenta'!C17</x:f>
        <x:v>A6324X20-XJ</x:v>
      </x:c>
      <x:c r="D17" t="str">
        <x:f>'Catalogo Ferramenta'!D17</x:f>
        <x:v>Pack da 20 lame per rasaerba a cuscino d'aria (cod. BEMWH551-QS)</x:v>
      </x:c>
      <x:c r="E17" t="str">
        <x:f>'Catalogo Ferramenta'!E17</x:f>
        <x:v>BLACK+DECKER</x:v>
      </x:c>
      <x:c r="F17" t="str">
        <x:f>'Catalogo Ferramenta'!F17</x:f>
        <x:v>GAMMA GIARDINO</x:v>
      </x:c>
      <x:c r="G17" t="str">
        <x:f>'Catalogo Ferramenta'!G17</x:f>
        <x:v>ACCESSORI GIARDINO</x:v>
      </x:c>
      <x:c r="H17" s="12" t="n">
        <x:f>IF('Catalogo Ferramenta'!H17="",0,'Catalogo Ferramenta'!H17)</x:f>
        <x:v>0</x:v>
      </x:c>
      <x:c r="I17" s="12" t="n">
        <x:f>IF('Catalogo Ferramenta'!I17="",0,'Catalogo Ferramenta'!I17)</x:f>
        <x:v>0</x:v>
      </x:c>
      <x:c r="J17" s="14" t="n">
        <x:f>IF('Catalogo Ferramenta'!J17="",22,'Catalogo Ferramenta'!J17)</x:f>
        <x:v>22</x:v>
      </x:c>
      <x:c r="K17" s="14" t="n">
        <x:f>IF('Catalogo Ferramenta'!K17="",0,'Catalogo Ferramenta'!K17)</x:f>
        <x:v>0</x:v>
      </x:c>
      <x:c r="L17" s="14" t="n">
        <x:f>1</x:f>
        <x:v>1</x:v>
      </x:c>
      <x:c r="M17" t="n">
        <x:f>'Catalogo Ferramenta'!L17</x:f>
        <x:v>0</x:v>
      </x:c>
      <x:c r="N17" t="n">
        <x:f>'Catalogo Ferramenta'!M17</x:f>
        <x:v>0</x:v>
      </x:c>
      <x:c r="O17" t="str">
        <x:f>'Catalogo Ferramenta'!N17</x:f>
        <x:v>BLACK+DECKER</x:v>
      </x:c>
      <x:c r="P17" t="str">
        <x:f>'Catalogo Ferramenta'!P17</x:f>
        <x:v>Catalogo Black+Decker Lo Specialista 2026, pagina 86. Prezzi se presenti: raccomandati dal catalogo.</x:v>
      </x:c>
      <x:c r="Q17" s="14" t="n">
        <x:f>'Catalogo Ferramenta'!R17</x:f>
        <x:v>86</x:v>
      </x:c>
      <x:c r="R17" t="str">
        <x:f>'Catalogo Ferramenta'!S17</x:f>
        <x:v>B+D_CATALOGO Lo Specialista 2026.pdf</x:v>
      </x:c>
      <x:c r="S17" s="45" t="b">
        <x:f>AND(D17&lt;&gt;"",B17&lt;&gt;"")</x:f>
        <x:v>1</x:v>
      </x:c>
      <x:c r="T17" t="str">
        <x:f>TEXTJOIN("; ",TRUE,IF(D17="","manca nome",""),IF(B17="","manca barcode",""),IF(H17=0,"prezzo costo da compilare",""),IF(I17=0,"prezzo vendita da compilare",""),IF(K17=0,"quantità da compilare",""))</x:f>
        <x:v>prezzo costo da compilare; prezzo vendita da compilare; quantità da compilare</x:v>
      </x:c>
    </x:row>
    <x:row r="18">
      <x:c r="A18" t="str">
        <x:f>'Catalogo Ferramenta'!A18</x:f>
        <x:v>BD-0017</x:v>
      </x:c>
      <x:c r="B18" t="str">
        <x:f>'Catalogo Ferramenta'!B18</x:f>
        <x:v>5035048734070</x:v>
      </x:c>
      <x:c r="C18" t="str">
        <x:f>'Catalogo Ferramenta'!C18</x:f>
        <x:v>A6324-XJ</x:v>
      </x:c>
      <x:c r="D18" t="str">
        <x:f>'Catalogo Ferramenta'!D18</x:f>
        <x:v>Lama per rasaerba 32 cm</x:v>
      </x:c>
      <x:c r="E18" t="str">
        <x:f>'Catalogo Ferramenta'!E18</x:f>
        <x:v>BLACK+DECKER</x:v>
      </x:c>
      <x:c r="F18" t="str">
        <x:f>'Catalogo Ferramenta'!F18</x:f>
        <x:v>GAMMA GIARDINO</x:v>
      </x:c>
      <x:c r="G18" t="str">
        <x:f>'Catalogo Ferramenta'!G18</x:f>
        <x:v>ACCESSORI GIARDINO</x:v>
      </x:c>
      <x:c r="H18" s="12" t="n">
        <x:f>IF('Catalogo Ferramenta'!H18="",0,'Catalogo Ferramenta'!H18)</x:f>
        <x:v>0</x:v>
      </x:c>
      <x:c r="I18" s="12" t="n">
        <x:f>IF('Catalogo Ferramenta'!I18="",0,'Catalogo Ferramenta'!I18)</x:f>
        <x:v>0</x:v>
      </x:c>
      <x:c r="J18" s="14" t="n">
        <x:f>IF('Catalogo Ferramenta'!J18="",22,'Catalogo Ferramenta'!J18)</x:f>
        <x:v>22</x:v>
      </x:c>
      <x:c r="K18" s="14" t="n">
        <x:f>IF('Catalogo Ferramenta'!K18="",0,'Catalogo Ferramenta'!K18)</x:f>
        <x:v>0</x:v>
      </x:c>
      <x:c r="L18" s="14" t="n">
        <x:f>1</x:f>
        <x:v>1</x:v>
      </x:c>
      <x:c r="M18" t="n">
        <x:f>'Catalogo Ferramenta'!L18</x:f>
        <x:v>0</x:v>
      </x:c>
      <x:c r="N18" t="n">
        <x:f>'Catalogo Ferramenta'!M18</x:f>
        <x:v>0</x:v>
      </x:c>
      <x:c r="O18" t="str">
        <x:f>'Catalogo Ferramenta'!N18</x:f>
        <x:v>BLACK+DECKER</x:v>
      </x:c>
      <x:c r="P18" t="str">
        <x:f>'Catalogo Ferramenta'!P18</x:f>
        <x:v>Catalogo Black+Decker Lo Specialista 2026, pagina 86. Prezzi se presenti: raccomandati dal catalogo.</x:v>
      </x:c>
      <x:c r="Q18" s="14" t="n">
        <x:f>'Catalogo Ferramenta'!R18</x:f>
        <x:v>86</x:v>
      </x:c>
      <x:c r="R18" t="str">
        <x:f>'Catalogo Ferramenta'!S18</x:f>
        <x:v>B+D_CATALOGO Lo Specialista 2026.pdf</x:v>
      </x:c>
      <x:c r="S18" s="45" t="b">
        <x:f>AND(D18&lt;&gt;"",B18&lt;&gt;"")</x:f>
        <x:v>1</x:v>
      </x:c>
      <x:c r="T18" t="str">
        <x:f>TEXTJOIN("; ",TRUE,IF(D18="","manca nome",""),IF(B18="","manca barcode",""),IF(H18=0,"prezzo costo da compilare",""),IF(I18=0,"prezzo vendita da compilare",""),IF(K18=0,"quantità da compilare",""))</x:f>
        <x:v>prezzo costo da compilare; prezzo vendita da compilare; quantità da compilare</x:v>
      </x:c>
    </x:row>
    <x:row r="19">
      <x:c r="A19" t="str">
        <x:f>'Catalogo Ferramenta'!A19</x:f>
        <x:v>BD-0018</x:v>
      </x:c>
      <x:c r="B19" t="str">
        <x:f>'Catalogo Ferramenta'!B19</x:f>
        <x:v>5054905337506</x:v>
      </x:c>
      <x:c r="C19" t="str">
        <x:f>'Catalogo Ferramenta'!C19</x:f>
        <x:v>A6328-XJ</x:v>
      </x:c>
      <x:c r="D19" t="str">
        <x:f>'Catalogo Ferramenta'!D19</x:f>
        <x:v>Lama per rasaerba 34 cm</x:v>
      </x:c>
      <x:c r="E19" t="str">
        <x:f>'Catalogo Ferramenta'!E19</x:f>
        <x:v>BLACK+DECKER</x:v>
      </x:c>
      <x:c r="F19" t="str">
        <x:f>'Catalogo Ferramenta'!F19</x:f>
        <x:v>GAMMA GIARDINO</x:v>
      </x:c>
      <x:c r="G19" t="str">
        <x:f>'Catalogo Ferramenta'!G19</x:f>
        <x:v>ACCESSORI GIARDINO</x:v>
      </x:c>
      <x:c r="H19" s="12" t="n">
        <x:f>IF('Catalogo Ferramenta'!H19="",0,'Catalogo Ferramenta'!H19)</x:f>
        <x:v>0</x:v>
      </x:c>
      <x:c r="I19" s="12" t="n">
        <x:f>IF('Catalogo Ferramenta'!I19="",0,'Catalogo Ferramenta'!I19)</x:f>
        <x:v>0</x:v>
      </x:c>
      <x:c r="J19" s="14" t="n">
        <x:f>IF('Catalogo Ferramenta'!J19="",22,'Catalogo Ferramenta'!J19)</x:f>
        <x:v>22</x:v>
      </x:c>
      <x:c r="K19" s="14" t="n">
        <x:f>IF('Catalogo Ferramenta'!K19="",0,'Catalogo Ferramenta'!K19)</x:f>
        <x:v>0</x:v>
      </x:c>
      <x:c r="L19" s="14" t="n">
        <x:f>1</x:f>
        <x:v>1</x:v>
      </x:c>
      <x:c r="M19" t="n">
        <x:f>'Catalogo Ferramenta'!L19</x:f>
        <x:v>0</x:v>
      </x:c>
      <x:c r="N19" t="n">
        <x:f>'Catalogo Ferramenta'!M19</x:f>
        <x:v>0</x:v>
      </x:c>
      <x:c r="O19" t="str">
        <x:f>'Catalogo Ferramenta'!N19</x:f>
        <x:v>BLACK+DECKER</x:v>
      </x:c>
      <x:c r="P19" t="str">
        <x:f>'Catalogo Ferramenta'!P19</x:f>
        <x:v>Catalogo Black+Decker Lo Specialista 2026, pagina 86. Prezzi se presenti: raccomandati dal catalogo.</x:v>
      </x:c>
      <x:c r="Q19" s="14" t="n">
        <x:f>'Catalogo Ferramenta'!R19</x:f>
        <x:v>86</x:v>
      </x:c>
      <x:c r="R19" t="str">
        <x:f>'Catalogo Ferramenta'!S19</x:f>
        <x:v>B+D_CATALOGO Lo Specialista 2026.pdf</x:v>
      </x:c>
      <x:c r="S19" s="45" t="b">
        <x:f>AND(D19&lt;&gt;"",B19&lt;&gt;"")</x:f>
        <x:v>1</x:v>
      </x:c>
      <x:c r="T19" t="str">
        <x:f>TEXTJOIN("; ",TRUE,IF(D19="","manca nome",""),IF(B19="","manca barcode",""),IF(H19=0,"prezzo costo da compilare",""),IF(I19=0,"prezzo vendita da compilare",""),IF(K19=0,"quantità da compilare",""))</x:f>
        <x:v>prezzo costo da compilare; prezzo vendita da compilare; quantità da compilare</x:v>
      </x:c>
    </x:row>
    <x:row r="20">
      <x:c r="A20" t="str">
        <x:f>'Catalogo Ferramenta'!A20</x:f>
        <x:v>BD-0019</x:v>
      </x:c>
      <x:c r="B20" t="str">
        <x:f>'Catalogo Ferramenta'!B20</x:f>
        <x:v>5054905337513</x:v>
      </x:c>
      <x:c r="C20" t="str">
        <x:f>'Catalogo Ferramenta'!C20</x:f>
        <x:v>A6329-XJ</x:v>
      </x:c>
      <x:c r="D20" t="str">
        <x:f>'Catalogo Ferramenta'!D20</x:f>
        <x:v>Lama per rasaerba 40 cm</x:v>
      </x:c>
      <x:c r="E20" t="str">
        <x:f>'Catalogo Ferramenta'!E20</x:f>
        <x:v>BLACK+DECKER</x:v>
      </x:c>
      <x:c r="F20" t="str">
        <x:f>'Catalogo Ferramenta'!F20</x:f>
        <x:v>GAMMA GIARDINO</x:v>
      </x:c>
      <x:c r="G20" t="str">
        <x:f>'Catalogo Ferramenta'!G20</x:f>
        <x:v>ACCESSORI GIARDINO</x:v>
      </x:c>
      <x:c r="H20" s="12" t="n">
        <x:f>IF('Catalogo Ferramenta'!H20="",0,'Catalogo Ferramenta'!H20)</x:f>
        <x:v>0</x:v>
      </x:c>
      <x:c r="I20" s="12" t="n">
        <x:f>IF('Catalogo Ferramenta'!I20="",0,'Catalogo Ferramenta'!I20)</x:f>
        <x:v>0</x:v>
      </x:c>
      <x:c r="J20" s="14" t="n">
        <x:f>IF('Catalogo Ferramenta'!J20="",22,'Catalogo Ferramenta'!J20)</x:f>
        <x:v>22</x:v>
      </x:c>
      <x:c r="K20" s="14" t="n">
        <x:f>IF('Catalogo Ferramenta'!K20="",0,'Catalogo Ferramenta'!K20)</x:f>
        <x:v>0</x:v>
      </x:c>
      <x:c r="L20" s="14" t="n">
        <x:f>1</x:f>
        <x:v>1</x:v>
      </x:c>
      <x:c r="M20" t="n">
        <x:f>'Catalogo Ferramenta'!L20</x:f>
        <x:v>0</x:v>
      </x:c>
      <x:c r="N20" t="n">
        <x:f>'Catalogo Ferramenta'!M20</x:f>
        <x:v>0</x:v>
      </x:c>
      <x:c r="O20" t="str">
        <x:f>'Catalogo Ferramenta'!N20</x:f>
        <x:v>BLACK+DECKER</x:v>
      </x:c>
      <x:c r="P20" t="str">
        <x:f>'Catalogo Ferramenta'!P20</x:f>
        <x:v>Catalogo Black+Decker Lo Specialista 2026, pagina 86. Prezzi se presenti: raccomandati dal catalogo.</x:v>
      </x:c>
      <x:c r="Q20" s="14" t="n">
        <x:f>'Catalogo Ferramenta'!R20</x:f>
        <x:v>86</x:v>
      </x:c>
      <x:c r="R20" t="str">
        <x:f>'Catalogo Ferramenta'!S20</x:f>
        <x:v>B+D_CATALOGO Lo Specialista 2026.pdf</x:v>
      </x:c>
      <x:c r="S20" s="45" t="b">
        <x:f>AND(D20&lt;&gt;"",B20&lt;&gt;"")</x:f>
        <x:v>1</x:v>
      </x:c>
      <x:c r="T20" t="str">
        <x:f>TEXTJOIN("; ",TRUE,IF(D20="","manca nome",""),IF(B20="","manca barcode",""),IF(H20=0,"prezzo costo da compilare",""),IF(I20=0,"prezzo vendita da compilare",""),IF(K20=0,"quantità da compilare",""))</x:f>
        <x:v>prezzo costo da compilare; prezzo vendita da compilare; quantità da compilare</x:v>
      </x:c>
    </x:row>
    <x:row r="21">
      <x:c r="A21" t="str">
        <x:f>'Catalogo Ferramenta'!A21</x:f>
        <x:v>BD-0020</x:v>
      </x:c>
      <x:c r="B21" t="str">
        <x:f>'Catalogo Ferramenta'!B21</x:f>
        <x:v>5054905337520</x:v>
      </x:c>
      <x:c r="C21" t="str">
        <x:f>'Catalogo Ferramenta'!C21</x:f>
        <x:v>A6330-XJ</x:v>
      </x:c>
      <x:c r="D21" t="str">
        <x:f>'Catalogo Ferramenta'!D21</x:f>
        <x:v>Rullo per scarificazione 30 cm</x:v>
      </x:c>
      <x:c r="E21" t="str">
        <x:f>'Catalogo Ferramenta'!E21</x:f>
        <x:v>BLACK+DECKER</x:v>
      </x:c>
      <x:c r="F21" t="str">
        <x:f>'Catalogo Ferramenta'!F21</x:f>
        <x:v>GAMMA GIARDINO</x:v>
      </x:c>
      <x:c r="G21" t="str">
        <x:f>'Catalogo Ferramenta'!G21</x:f>
        <x:v>ACCESSORI GIARDINO</x:v>
      </x:c>
      <x:c r="H21" s="12" t="n">
        <x:f>IF('Catalogo Ferramenta'!H21="",0,'Catalogo Ferramenta'!H21)</x:f>
        <x:v>0</x:v>
      </x:c>
      <x:c r="I21" s="12" t="n">
        <x:f>IF('Catalogo Ferramenta'!I21="",0,'Catalogo Ferramenta'!I21)</x:f>
        <x:v>0</x:v>
      </x:c>
      <x:c r="J21" s="14" t="n">
        <x:f>IF('Catalogo Ferramenta'!J21="",22,'Catalogo Ferramenta'!J21)</x:f>
        <x:v>22</x:v>
      </x:c>
      <x:c r="K21" s="14" t="n">
        <x:f>IF('Catalogo Ferramenta'!K21="",0,'Catalogo Ferramenta'!K21)</x:f>
        <x:v>0</x:v>
      </x:c>
      <x:c r="L21" s="14" t="n">
        <x:f>1</x:f>
        <x:v>1</x:v>
      </x:c>
      <x:c r="M21" t="n">
        <x:f>'Catalogo Ferramenta'!L21</x:f>
        <x:v>0</x:v>
      </x:c>
      <x:c r="N21" t="n">
        <x:f>'Catalogo Ferramenta'!M21</x:f>
        <x:v>0</x:v>
      </x:c>
      <x:c r="O21" t="str">
        <x:f>'Catalogo Ferramenta'!N21</x:f>
        <x:v>BLACK+DECKER</x:v>
      </x:c>
      <x:c r="P21" t="str">
        <x:f>'Catalogo Ferramenta'!P21</x:f>
        <x:v>Catalogo Black+Decker Lo Specialista 2026, pagina 89. Prezzi se presenti: raccomandati dal catalogo.</x:v>
      </x:c>
      <x:c r="Q21" s="14" t="n">
        <x:f>'Catalogo Ferramenta'!R21</x:f>
        <x:v>89</x:v>
      </x:c>
      <x:c r="R21" t="str">
        <x:f>'Catalogo Ferramenta'!S21</x:f>
        <x:v>B+D_CATALOGO Lo Specialista 2026.pdf</x:v>
      </x:c>
      <x:c r="S21" s="45" t="b">
        <x:f>AND(D21&lt;&gt;"",B21&lt;&gt;"")</x:f>
        <x:v>1</x:v>
      </x:c>
      <x:c r="T21" t="str">
        <x:f>TEXTJOIN("; ",TRUE,IF(D21="","manca nome",""),IF(B21="","manca barcode",""),IF(H21=0,"prezzo costo da compilare",""),IF(I21=0,"prezzo vendita da compilare",""),IF(K21=0,"quantità da compilare",""))</x:f>
        <x:v>prezzo costo da compilare; prezzo vendita da compilare; quantità da compilare</x:v>
      </x:c>
    </x:row>
    <x:row r="22">
      <x:c r="A22" t="str">
        <x:f>'Catalogo Ferramenta'!A22</x:f>
        <x:v>BD-0021</x:v>
      </x:c>
      <x:c r="B22" t="str">
        <x:f>'Catalogo Ferramenta'!B22</x:f>
        <x:v>5054905337537</x:v>
      </x:c>
      <x:c r="C22" t="str">
        <x:f>'Catalogo Ferramenta'!C22</x:f>
        <x:v>A6331-XJ</x:v>
      </x:c>
      <x:c r="D22" t="str">
        <x:f>'Catalogo Ferramenta'!D22</x:f>
        <x:v>Rullo per areazione 30 cm</x:v>
      </x:c>
      <x:c r="E22" t="str">
        <x:f>'Catalogo Ferramenta'!E22</x:f>
        <x:v>BLACK+DECKER</x:v>
      </x:c>
      <x:c r="F22" t="str">
        <x:f>'Catalogo Ferramenta'!F22</x:f>
        <x:v>GAMMA GIARDINO</x:v>
      </x:c>
      <x:c r="G22" t="str">
        <x:f>'Catalogo Ferramenta'!G22</x:f>
        <x:v>ACCESSORI GIARDINO</x:v>
      </x:c>
      <x:c r="H22" s="12" t="n">
        <x:f>IF('Catalogo Ferramenta'!H22="",0,'Catalogo Ferramenta'!H22)</x:f>
        <x:v>0</x:v>
      </x:c>
      <x:c r="I22" s="12" t="n">
        <x:f>IF('Catalogo Ferramenta'!I22="",0,'Catalogo Ferramenta'!I22)</x:f>
        <x:v>0</x:v>
      </x:c>
      <x:c r="J22" s="14" t="n">
        <x:f>IF('Catalogo Ferramenta'!J22="",22,'Catalogo Ferramenta'!J22)</x:f>
        <x:v>22</x:v>
      </x:c>
      <x:c r="K22" s="14" t="n">
        <x:f>IF('Catalogo Ferramenta'!K22="",0,'Catalogo Ferramenta'!K22)</x:f>
        <x:v>0</x:v>
      </x:c>
      <x:c r="L22" s="14" t="n">
        <x:f>1</x:f>
        <x:v>1</x:v>
      </x:c>
      <x:c r="M22" t="n">
        <x:f>'Catalogo Ferramenta'!L22</x:f>
        <x:v>0</x:v>
      </x:c>
      <x:c r="N22" t="n">
        <x:f>'Catalogo Ferramenta'!M22</x:f>
        <x:v>0</x:v>
      </x:c>
      <x:c r="O22" t="str">
        <x:f>'Catalogo Ferramenta'!N22</x:f>
        <x:v>BLACK+DECKER</x:v>
      </x:c>
      <x:c r="P22" t="str">
        <x:f>'Catalogo Ferramenta'!P22</x:f>
        <x:v>Catalogo Black+Decker Lo Specialista 2026, pagina 89. Prezzi se presenti: raccomandati dal catalogo.</x:v>
      </x:c>
      <x:c r="Q22" s="14" t="n">
        <x:f>'Catalogo Ferramenta'!R22</x:f>
        <x:v>89</x:v>
      </x:c>
      <x:c r="R22" t="str">
        <x:f>'Catalogo Ferramenta'!S22</x:f>
        <x:v>B+D_CATALOGO Lo Specialista 2026.pdf</x:v>
      </x:c>
      <x:c r="S22" s="45" t="b">
        <x:f>AND(D22&lt;&gt;"",B22&lt;&gt;"")</x:f>
        <x:v>1</x:v>
      </x:c>
      <x:c r="T22" t="str">
        <x:f>TEXTJOIN("; ",TRUE,IF(D22="","manca nome",""),IF(B22="","manca barcode",""),IF(H22=0,"prezzo costo da compilare",""),IF(I22=0,"prezzo vendita da compilare",""),IF(K22=0,"quantità da compilare",""))</x:f>
        <x:v>prezzo costo da compilare; prezzo vendita da compilare; quantità da compilare</x:v>
      </x:c>
    </x:row>
    <x:row r="23">
      <x:c r="A23" t="str">
        <x:f>'Catalogo Ferramenta'!A23</x:f>
        <x:v>BD-0022</x:v>
      </x:c>
      <x:c r="B23" t="str">
        <x:f>'Catalogo Ferramenta'!B23</x:f>
        <x:v>5035048009338</x:v>
      </x:c>
      <x:c r="C23" t="str">
        <x:f>'Catalogo Ferramenta'!C23</x:f>
        <x:v>A6440-XJ</x:v>
      </x:c>
      <x:c r="D23" t="str">
        <x:f>'Catalogo Ferramenta'!D23</x:f>
        <x:v>Filo nylon 25mt spessore 1.5 mm per modelli ad alimentazione REFLEX PLUS</x:v>
      </x:c>
      <x:c r="E23" t="str">
        <x:f>'Catalogo Ferramenta'!E23</x:f>
        <x:v>BLACK+DECKER</x:v>
      </x:c>
      <x:c r="F23" t="str">
        <x:f>'Catalogo Ferramenta'!F23</x:f>
        <x:v>GAMMA GIARDINO</x:v>
      </x:c>
      <x:c r="G23" t="str">
        <x:f>'Catalogo Ferramenta'!G23</x:f>
        <x:v>ACCESSORI GIARDINO</x:v>
      </x:c>
      <x:c r="H23" s="12" t="n">
        <x:f>IF('Catalogo Ferramenta'!H23="",0,'Catalogo Ferramenta'!H23)</x:f>
        <x:v>0</x:v>
      </x:c>
      <x:c r="I23" s="12" t="n">
        <x:f>IF('Catalogo Ferramenta'!I23="",0,'Catalogo Ferramenta'!I23)</x:f>
        <x:v>0</x:v>
      </x:c>
      <x:c r="J23" s="14" t="n">
        <x:f>IF('Catalogo Ferramenta'!J23="",22,'Catalogo Ferramenta'!J23)</x:f>
        <x:v>22</x:v>
      </x:c>
      <x:c r="K23" s="14" t="n">
        <x:f>IF('Catalogo Ferramenta'!K23="",0,'Catalogo Ferramenta'!K23)</x:f>
        <x:v>0</x:v>
      </x:c>
      <x:c r="L23" s="14" t="n">
        <x:f>1</x:f>
        <x:v>1</x:v>
      </x:c>
      <x:c r="M23" t="n">
        <x:f>'Catalogo Ferramenta'!L23</x:f>
        <x:v>0</x:v>
      </x:c>
      <x:c r="N23" t="n">
        <x:f>'Catalogo Ferramenta'!M23</x:f>
        <x:v>0</x:v>
      </x:c>
      <x:c r="O23" t="str">
        <x:f>'Catalogo Ferramenta'!N23</x:f>
        <x:v>BLACK+DECKER</x:v>
      </x:c>
      <x:c r="P23" t="str">
        <x:f>'Catalogo Ferramenta'!P23</x:f>
        <x:v>Catalogo Black+Decker Lo Specialista 2026, pagina 97. Prezzi se presenti: raccomandati dal catalogo.</x:v>
      </x:c>
      <x:c r="Q23" s="14" t="n">
        <x:f>'Catalogo Ferramenta'!R23</x:f>
        <x:v>97</x:v>
      </x:c>
      <x:c r="R23" t="str">
        <x:f>'Catalogo Ferramenta'!S23</x:f>
        <x:v>B+D_CATALOGO Lo Specialista 2026.pdf</x:v>
      </x:c>
      <x:c r="S23" s="45" t="b">
        <x:f>AND(D23&lt;&gt;"",B23&lt;&gt;"")</x:f>
        <x:v>1</x:v>
      </x:c>
      <x:c r="T23" t="str">
        <x:f>TEXTJOIN("; ",TRUE,IF(D23="","manca nome",""),IF(B23="","manca barcode",""),IF(H23=0,"prezzo costo da compilare",""),IF(I23=0,"prezzo vendita da compilare",""),IF(K23=0,"quantità da compilare",""))</x:f>
        <x:v>prezzo costo da compilare; prezzo vendita da compilare; quantità da compilare</x:v>
      </x:c>
    </x:row>
    <x:row r="24">
      <x:c r="A24" t="str">
        <x:f>'Catalogo Ferramenta'!A24</x:f>
        <x:v>BD-0023</x:v>
      </x:c>
      <x:c r="B24" t="str">
        <x:f>'Catalogo Ferramenta'!B24</x:f>
        <x:v>5035048023235</x:v>
      </x:c>
      <x:c r="C24" t="str">
        <x:f>'Catalogo Ferramenta'!C24</x:f>
        <x:v>A6482-XJ</x:v>
      </x:c>
      <x:c r="D24" t="str">
        <x:f>'Catalogo Ferramenta'!D24</x:f>
        <x:v>Rocchetto e filo nylon 10 mt 2 mm</x:v>
      </x:c>
      <x:c r="E24" t="str">
        <x:f>'Catalogo Ferramenta'!E24</x:f>
        <x:v>BLACK+DECKER</x:v>
      </x:c>
      <x:c r="F24" t="str">
        <x:f>'Catalogo Ferramenta'!F24</x:f>
        <x:v>GAMMA GIARDINO</x:v>
      </x:c>
      <x:c r="G24" t="str">
        <x:f>'Catalogo Ferramenta'!G24</x:f>
        <x:v>ACCESSORI GIARDINO</x:v>
      </x:c>
      <x:c r="H24" s="12" t="n">
        <x:f>IF('Catalogo Ferramenta'!H24="",0,'Catalogo Ferramenta'!H24)</x:f>
        <x:v>0</x:v>
      </x:c>
      <x:c r="I24" s="12" t="n">
        <x:f>IF('Catalogo Ferramenta'!I24="",0,'Catalogo Ferramenta'!I24)</x:f>
        <x:v>0</x:v>
      </x:c>
      <x:c r="J24" s="14" t="n">
        <x:f>IF('Catalogo Ferramenta'!J24="",22,'Catalogo Ferramenta'!J24)</x:f>
        <x:v>22</x:v>
      </x:c>
      <x:c r="K24" s="14" t="n">
        <x:f>IF('Catalogo Ferramenta'!K24="",0,'Catalogo Ferramenta'!K24)</x:f>
        <x:v>0</x:v>
      </x:c>
      <x:c r="L24" s="14" t="n">
        <x:f>1</x:f>
        <x:v>1</x:v>
      </x:c>
      <x:c r="M24" t="n">
        <x:f>'Catalogo Ferramenta'!L24</x:f>
        <x:v>0</x:v>
      </x:c>
      <x:c r="N24" t="n">
        <x:f>'Catalogo Ferramenta'!M24</x:f>
        <x:v>0</x:v>
      </x:c>
      <x:c r="O24" t="str">
        <x:f>'Catalogo Ferramenta'!N24</x:f>
        <x:v>BLACK+DECKER</x:v>
      </x:c>
      <x:c r="P24" t="str">
        <x:f>'Catalogo Ferramenta'!P24</x:f>
        <x:v>Catalogo Black+Decker Lo Specialista 2026, pagina 97. Prezzi se presenti: raccomandati dal catalogo.</x:v>
      </x:c>
      <x:c r="Q24" s="14" t="n">
        <x:f>'Catalogo Ferramenta'!R24</x:f>
        <x:v>97</x:v>
      </x:c>
      <x:c r="R24" t="str">
        <x:f>'Catalogo Ferramenta'!S24</x:f>
        <x:v>B+D_CATALOGO Lo Specialista 2026.pdf</x:v>
      </x:c>
      <x:c r="S24" s="45" t="b">
        <x:f>AND(D24&lt;&gt;"",B24&lt;&gt;"")</x:f>
        <x:v>1</x:v>
      </x:c>
      <x:c r="T24" t="str">
        <x:f>TEXTJOIN("; ",TRUE,IF(D24="","manca nome",""),IF(B24="","manca barcode",""),IF(H24=0,"prezzo costo da compilare",""),IF(I24=0,"prezzo vendita da compilare",""),IF(K24=0,"quantità da compilare",""))</x:f>
        <x:v>prezzo costo da compilare; prezzo vendita da compilare; quantità da compilare</x:v>
      </x:c>
    </x:row>
    <x:row r="25">
      <x:c r="A25" t="str">
        <x:f>'Catalogo Ferramenta'!A25</x:f>
        <x:v>BD-0024</x:v>
      </x:c>
      <x:c r="B25" t="str">
        <x:f>'Catalogo Ferramenta'!B25</x:f>
        <x:v>5035048010402</x:v>
      </x:c>
      <x:c r="C25" t="str">
        <x:f>'Catalogo Ferramenta'!C25</x:f>
        <x:v>A6487-XJ</x:v>
      </x:c>
      <x:c r="D25" t="str">
        <x:f>'Catalogo Ferramenta'!D25</x:f>
        <x:v>10 unità di filo HDL 3.0 mm</x:v>
      </x:c>
      <x:c r="E25" t="str">
        <x:f>'Catalogo Ferramenta'!E25</x:f>
        <x:v>BLACK+DECKER</x:v>
      </x:c>
      <x:c r="F25" t="str">
        <x:f>'Catalogo Ferramenta'!F25</x:f>
        <x:v>GAMMA GIARDINO</x:v>
      </x:c>
      <x:c r="G25" t="str">
        <x:f>'Catalogo Ferramenta'!G25</x:f>
        <x:v>ACCESSORI GIARDINO</x:v>
      </x:c>
      <x:c r="H25" s="12" t="n">
        <x:f>IF('Catalogo Ferramenta'!H25="",0,'Catalogo Ferramenta'!H25)</x:f>
        <x:v>0</x:v>
      </x:c>
      <x:c r="I25" s="12" t="n">
        <x:f>IF('Catalogo Ferramenta'!I25="",0,'Catalogo Ferramenta'!I25)</x:f>
        <x:v>0</x:v>
      </x:c>
      <x:c r="J25" s="14" t="n">
        <x:f>IF('Catalogo Ferramenta'!J25="",22,'Catalogo Ferramenta'!J25)</x:f>
        <x:v>22</x:v>
      </x:c>
      <x:c r="K25" s="14" t="n">
        <x:f>IF('Catalogo Ferramenta'!K25="",0,'Catalogo Ferramenta'!K25)</x:f>
        <x:v>0</x:v>
      </x:c>
      <x:c r="L25" s="14" t="n">
        <x:f>1</x:f>
        <x:v>1</x:v>
      </x:c>
      <x:c r="M25" t="n">
        <x:f>'Catalogo Ferramenta'!L25</x:f>
        <x:v>0</x:v>
      </x:c>
      <x:c r="N25" t="n">
        <x:f>'Catalogo Ferramenta'!M25</x:f>
        <x:v>0</x:v>
      </x:c>
      <x:c r="O25" t="str">
        <x:f>'Catalogo Ferramenta'!N25</x:f>
        <x:v>BLACK+DECKER</x:v>
      </x:c>
      <x:c r="P25" t="str">
        <x:f>'Catalogo Ferramenta'!P25</x:f>
        <x:v>Catalogo Black+Decker Lo Specialista 2026, pagina 97. Prezzi se presenti: raccomandati dal catalogo.</x:v>
      </x:c>
      <x:c r="Q25" s="14" t="n">
        <x:f>'Catalogo Ferramenta'!R25</x:f>
        <x:v>97</x:v>
      </x:c>
      <x:c r="R25" t="str">
        <x:f>'Catalogo Ferramenta'!S25</x:f>
        <x:v>B+D_CATALOGO Lo Specialista 2026.pdf</x:v>
      </x:c>
      <x:c r="S25" s="45" t="b">
        <x:f>AND(D25&lt;&gt;"",B25&lt;&gt;"")</x:f>
        <x:v>1</x:v>
      </x:c>
      <x:c r="T25" t="str">
        <x:f>TEXTJOIN("; ",TRUE,IF(D25="","manca nome",""),IF(B25="","manca barcode",""),IF(H25=0,"prezzo costo da compilare",""),IF(I25=0,"prezzo vendita da compilare",""),IF(K25=0,"quantità da compilare",""))</x:f>
        <x:v>prezzo costo da compilare; prezzo vendita da compilare; quantità da compilare</x:v>
      </x:c>
    </x:row>
    <x:row r="26">
      <x:c r="A26" t="str">
        <x:f>'Catalogo Ferramenta'!A26</x:f>
        <x:v>BD-0025</x:v>
      </x:c>
      <x:c r="B26" t="str">
        <x:f>'Catalogo Ferramenta'!B26</x:f>
        <x:v>5035048023228</x:v>
      </x:c>
      <x:c r="C26" t="str">
        <x:f>'Catalogo Ferramenta'!C26</x:f>
        <x:v>A6489-XJ</x:v>
      </x:c>
      <x:c r="D26" t="str">
        <x:f>'Catalogo Ferramenta'!D26</x:f>
        <x:v>10 unità di filo HDL 2.5 mm</x:v>
      </x:c>
      <x:c r="E26" t="str">
        <x:f>'Catalogo Ferramenta'!E26</x:f>
        <x:v>BLACK+DECKER</x:v>
      </x:c>
      <x:c r="F26" t="str">
        <x:f>'Catalogo Ferramenta'!F26</x:f>
        <x:v>GAMMA GIARDINO</x:v>
      </x:c>
      <x:c r="G26" t="str">
        <x:f>'Catalogo Ferramenta'!G26</x:f>
        <x:v>ACCESSORI GIARDINO</x:v>
      </x:c>
      <x:c r="H26" s="12" t="n">
        <x:f>IF('Catalogo Ferramenta'!H26="",0,'Catalogo Ferramenta'!H26)</x:f>
        <x:v>0</x:v>
      </x:c>
      <x:c r="I26" s="12" t="n">
        <x:f>IF('Catalogo Ferramenta'!I26="",0,'Catalogo Ferramenta'!I26)</x:f>
        <x:v>0</x:v>
      </x:c>
      <x:c r="J26" s="14" t="n">
        <x:f>IF('Catalogo Ferramenta'!J26="",22,'Catalogo Ferramenta'!J26)</x:f>
        <x:v>22</x:v>
      </x:c>
      <x:c r="K26" s="14" t="n">
        <x:f>IF('Catalogo Ferramenta'!K26="",0,'Catalogo Ferramenta'!K26)</x:f>
        <x:v>0</x:v>
      </x:c>
      <x:c r="L26" s="14" t="n">
        <x:f>1</x:f>
        <x:v>1</x:v>
      </x:c>
      <x:c r="M26" t="n">
        <x:f>'Catalogo Ferramenta'!L26</x:f>
        <x:v>0</x:v>
      </x:c>
      <x:c r="N26" t="n">
        <x:f>'Catalogo Ferramenta'!M26</x:f>
        <x:v>0</x:v>
      </x:c>
      <x:c r="O26" t="str">
        <x:f>'Catalogo Ferramenta'!N26</x:f>
        <x:v>BLACK+DECKER</x:v>
      </x:c>
      <x:c r="P26" t="str">
        <x:f>'Catalogo Ferramenta'!P26</x:f>
        <x:v>Catalogo Black+Decker Lo Specialista 2026, pagina 97. Prezzi se presenti: raccomandati dal catalogo.</x:v>
      </x:c>
      <x:c r="Q26" s="14" t="n">
        <x:f>'Catalogo Ferramenta'!R26</x:f>
        <x:v>97</x:v>
      </x:c>
      <x:c r="R26" t="str">
        <x:f>'Catalogo Ferramenta'!S26</x:f>
        <x:v>B+D_CATALOGO Lo Specialista 2026.pdf</x:v>
      </x:c>
      <x:c r="S26" s="45" t="b">
        <x:f>AND(D26&lt;&gt;"",B26&lt;&gt;"")</x:f>
        <x:v>1</x:v>
      </x:c>
      <x:c r="T26" t="str">
        <x:f>TEXTJOIN("; ",TRUE,IF(D26="","manca nome",""),IF(B26="","manca barcode",""),IF(H26=0,"prezzo costo da compilare",""),IF(I26=0,"prezzo vendita da compilare",""),IF(K26=0,"quantità da compilare",""))</x:f>
        <x:v>prezzo costo da compilare; prezzo vendita da compilare; quantità da compilare</x:v>
      </x:c>
    </x:row>
    <x:row r="27">
      <x:c r="A27" t="str">
        <x:f>'Catalogo Ferramenta'!A27</x:f>
        <x:v>BD-0026</x:v>
      </x:c>
      <x:c r="B27" t="str">
        <x:f>'Catalogo Ferramenta'!B27</x:f>
        <x:v>5035048736142</x:v>
      </x:c>
      <x:c r="C27" t="str">
        <x:f>'Catalogo Ferramenta'!C27</x:f>
        <x:v>A6502-XJ</x:v>
      </x:c>
      <x:c r="D27" t="str">
        <x:f>'Catalogo Ferramenta'!D27</x:f>
        <x:v>Tappo rocchetto GL HPP</x:v>
      </x:c>
      <x:c r="E27" t="str">
        <x:f>'Catalogo Ferramenta'!E27</x:f>
        <x:v>BLACK+DECKER</x:v>
      </x:c>
      <x:c r="F27" t="str">
        <x:f>'Catalogo Ferramenta'!F27</x:f>
        <x:v>GAMMA GIARDINO</x:v>
      </x:c>
      <x:c r="G27" t="str">
        <x:f>'Catalogo Ferramenta'!G27</x:f>
        <x:v>ACCESSORI GIARDINO</x:v>
      </x:c>
      <x:c r="H27" s="12" t="n">
        <x:f>IF('Catalogo Ferramenta'!H27="",0,'Catalogo Ferramenta'!H27)</x:f>
        <x:v>0</x:v>
      </x:c>
      <x:c r="I27" s="12" t="n">
        <x:f>IF('Catalogo Ferramenta'!I27="",0,'Catalogo Ferramenta'!I27)</x:f>
        <x:v>0</x:v>
      </x:c>
      <x:c r="J27" s="14" t="n">
        <x:f>IF('Catalogo Ferramenta'!J27="",22,'Catalogo Ferramenta'!J27)</x:f>
        <x:v>22</x:v>
      </x:c>
      <x:c r="K27" s="14" t="n">
        <x:f>IF('Catalogo Ferramenta'!K27="",0,'Catalogo Ferramenta'!K27)</x:f>
        <x:v>0</x:v>
      </x:c>
      <x:c r="L27" s="14" t="n">
        <x:f>1</x:f>
        <x:v>1</x:v>
      </x:c>
      <x:c r="M27" t="n">
        <x:f>'Catalogo Ferramenta'!L27</x:f>
        <x:v>0</x:v>
      </x:c>
      <x:c r="N27" t="n">
        <x:f>'Catalogo Ferramenta'!M27</x:f>
        <x:v>0</x:v>
      </x:c>
      <x:c r="O27" t="str">
        <x:f>'Catalogo Ferramenta'!N27</x:f>
        <x:v>BLACK+DECKER</x:v>
      </x:c>
      <x:c r="P27" t="str">
        <x:f>'Catalogo Ferramenta'!P27</x:f>
        <x:v>Catalogo Black+Decker Lo Specialista 2026, pagina 97. Prezzi se presenti: raccomandati dal catalogo.</x:v>
      </x:c>
      <x:c r="Q27" s="14" t="n">
        <x:f>'Catalogo Ferramenta'!R27</x:f>
        <x:v>97</x:v>
      </x:c>
      <x:c r="R27" t="str">
        <x:f>'Catalogo Ferramenta'!S27</x:f>
        <x:v>B+D_CATALOGO Lo Specialista 2026.pdf</x:v>
      </x:c>
      <x:c r="S27" s="45" t="b">
        <x:f>AND(D27&lt;&gt;"",B27&lt;&gt;"")</x:f>
        <x:v>1</x:v>
      </x:c>
      <x:c r="T27" t="str">
        <x:f>TEXTJOIN("; ",TRUE,IF(D27="","manca nome",""),IF(B27="","manca barcode",""),IF(H27=0,"prezzo costo da compilare",""),IF(I27=0,"prezzo vendita da compilare",""),IF(K27=0,"quantità da compilare",""))</x:f>
        <x:v>prezzo costo da compilare; prezzo vendita da compilare; quantità da compilare</x:v>
      </x:c>
    </x:row>
    <x:row r="28">
      <x:c r="A28" t="str">
        <x:f>'Catalogo Ferramenta'!A28</x:f>
        <x:v>BD-0027</x:v>
      </x:c>
      <x:c r="B28" t="str">
        <x:f>'Catalogo Ferramenta'!B28</x:f>
        <x:v>5035048736210</x:v>
      </x:c>
      <x:c r="C28" t="str">
        <x:f>'Catalogo Ferramenta'!C28</x:f>
        <x:v>A6504-XJ</x:v>
      </x:c>
      <x:c r="D28" t="str">
        <x:f>'Catalogo Ferramenta'!D28</x:f>
        <x:v>Tappo rocchetto AFS</x:v>
      </x:c>
      <x:c r="E28" t="str">
        <x:f>'Catalogo Ferramenta'!E28</x:f>
        <x:v>BLACK+DECKER</x:v>
      </x:c>
      <x:c r="F28" t="str">
        <x:f>'Catalogo Ferramenta'!F28</x:f>
        <x:v>GAMMA GIARDINO</x:v>
      </x:c>
      <x:c r="G28" t="str">
        <x:f>'Catalogo Ferramenta'!G28</x:f>
        <x:v>ACCESSORI GIARDINO</x:v>
      </x:c>
      <x:c r="H28" s="12" t="n">
        <x:f>IF('Catalogo Ferramenta'!H28="",0,'Catalogo Ferramenta'!H28)</x:f>
        <x:v>0</x:v>
      </x:c>
      <x:c r="I28" s="12" t="n">
        <x:f>IF('Catalogo Ferramenta'!I28="",0,'Catalogo Ferramenta'!I28)</x:f>
        <x:v>0</x:v>
      </x:c>
      <x:c r="J28" s="14" t="n">
        <x:f>IF('Catalogo Ferramenta'!J28="",22,'Catalogo Ferramenta'!J28)</x:f>
        <x:v>22</x:v>
      </x:c>
      <x:c r="K28" s="14" t="n">
        <x:f>IF('Catalogo Ferramenta'!K28="",0,'Catalogo Ferramenta'!K28)</x:f>
        <x:v>0</x:v>
      </x:c>
      <x:c r="L28" s="14" t="n">
        <x:f>1</x:f>
        <x:v>1</x:v>
      </x:c>
      <x:c r="M28" t="n">
        <x:f>'Catalogo Ferramenta'!L28</x:f>
        <x:v>0</x:v>
      </x:c>
      <x:c r="N28" t="n">
        <x:f>'Catalogo Ferramenta'!M28</x:f>
        <x:v>0</x:v>
      </x:c>
      <x:c r="O28" t="str">
        <x:f>'Catalogo Ferramenta'!N28</x:f>
        <x:v>BLACK+DECKER</x:v>
      </x:c>
      <x:c r="P28" t="str">
        <x:f>'Catalogo Ferramenta'!P28</x:f>
        <x:v>Catalogo Black+Decker Lo Specialista 2026, pagina 97. Prezzi se presenti: raccomandati dal catalogo.</x:v>
      </x:c>
      <x:c r="Q28" s="14" t="n">
        <x:f>'Catalogo Ferramenta'!R28</x:f>
        <x:v>97</x:v>
      </x:c>
      <x:c r="R28" t="str">
        <x:f>'Catalogo Ferramenta'!S28</x:f>
        <x:v>B+D_CATALOGO Lo Specialista 2026.pdf</x:v>
      </x:c>
      <x:c r="S28" s="45" t="b">
        <x:f>AND(D28&lt;&gt;"",B28&lt;&gt;"")</x:f>
        <x:v>1</x:v>
      </x:c>
      <x:c r="T28" t="str">
        <x:f>TEXTJOIN("; ",TRUE,IF(D28="","manca nome",""),IF(B28="","manca barcode",""),IF(H28=0,"prezzo costo da compilare",""),IF(I28=0,"prezzo vendita da compilare",""),IF(K28=0,"quantità da compilare",""))</x:f>
        <x:v>prezzo costo da compilare; prezzo vendita da compilare; quantità da compilare</x:v>
      </x:c>
    </x:row>
    <x:row r="29">
      <x:c r="A29" t="str">
        <x:f>'Catalogo Ferramenta'!A29</x:f>
        <x:v>BD-0028</x:v>
      </x:c>
      <x:c r="B29" t="str">
        <x:f>'Catalogo Ferramenta'!B29</x:f>
        <x:v>5035048736227</x:v>
      </x:c>
      <x:c r="C29" t="str">
        <x:f>'Catalogo Ferramenta'!C29</x:f>
        <x:v>A6505-XJ</x:v>
      </x:c>
      <x:c r="D29" t="str">
        <x:f>'Catalogo Ferramenta'!D29</x:f>
        <x:v>Tappo rocchetto PC</x:v>
      </x:c>
      <x:c r="E29" t="str">
        <x:f>'Catalogo Ferramenta'!E29</x:f>
        <x:v>BLACK+DECKER</x:v>
      </x:c>
      <x:c r="F29" t="str">
        <x:f>'Catalogo Ferramenta'!F29</x:f>
        <x:v>GAMMA GIARDINO</x:v>
      </x:c>
      <x:c r="G29" t="str">
        <x:f>'Catalogo Ferramenta'!G29</x:f>
        <x:v>ACCESSORI GIARDINO</x:v>
      </x:c>
      <x:c r="H29" s="12" t="n">
        <x:f>IF('Catalogo Ferramenta'!H29="",0,'Catalogo Ferramenta'!H29)</x:f>
        <x:v>0</x:v>
      </x:c>
      <x:c r="I29" s="12" t="n">
        <x:f>IF('Catalogo Ferramenta'!I29="",0,'Catalogo Ferramenta'!I29)</x:f>
        <x:v>0</x:v>
      </x:c>
      <x:c r="J29" s="14" t="n">
        <x:f>IF('Catalogo Ferramenta'!J29="",22,'Catalogo Ferramenta'!J29)</x:f>
        <x:v>22</x:v>
      </x:c>
      <x:c r="K29" s="14" t="n">
        <x:f>IF('Catalogo Ferramenta'!K29="",0,'Catalogo Ferramenta'!K29)</x:f>
        <x:v>0</x:v>
      </x:c>
      <x:c r="L29" s="14" t="n">
        <x:f>1</x:f>
        <x:v>1</x:v>
      </x:c>
      <x:c r="M29" t="n">
        <x:f>'Catalogo Ferramenta'!L29</x:f>
        <x:v>0</x:v>
      </x:c>
      <x:c r="N29" t="n">
        <x:f>'Catalogo Ferramenta'!M29</x:f>
        <x:v>0</x:v>
      </x:c>
      <x:c r="O29" t="str">
        <x:f>'Catalogo Ferramenta'!N29</x:f>
        <x:v>BLACK+DECKER</x:v>
      </x:c>
      <x:c r="P29" t="str">
        <x:f>'Catalogo Ferramenta'!P29</x:f>
        <x:v>Catalogo Black+Decker Lo Specialista 2026, pagina 97. Prezzi se presenti: raccomandati dal catalogo.</x:v>
      </x:c>
      <x:c r="Q29" s="14" t="n">
        <x:f>'Catalogo Ferramenta'!R29</x:f>
        <x:v>97</x:v>
      </x:c>
      <x:c r="R29" t="str">
        <x:f>'Catalogo Ferramenta'!S29</x:f>
        <x:v>B+D_CATALOGO Lo Specialista 2026.pdf</x:v>
      </x:c>
      <x:c r="S29" s="45" t="b">
        <x:f>AND(D29&lt;&gt;"",B29&lt;&gt;"")</x:f>
        <x:v>1</x:v>
      </x:c>
      <x:c r="T29" t="str">
        <x:f>TEXTJOIN("; ",TRUE,IF(D29="","manca nome",""),IF(B29="","manca barcode",""),IF(H29=0,"prezzo costo da compilare",""),IF(I29=0,"prezzo vendita da compilare",""),IF(K29=0,"quantità da compilare",""))</x:f>
        <x:v>prezzo costo da compilare; prezzo vendita da compilare; quantità da compilare</x:v>
      </x:c>
    </x:row>
    <x:row r="30">
      <x:c r="A30" t="str">
        <x:f>'Catalogo Ferramenta'!A30</x:f>
        <x:v>BD-0029</x:v>
      </x:c>
      <x:c r="B30" t="str">
        <x:f>'Catalogo Ferramenta'!B30</x:f>
        <x:v>5035048009000</x:v>
      </x:c>
      <x:c r="C30" t="str">
        <x:f>'Catalogo Ferramenta'!C30</x:f>
        <x:v>A7039-XJ</x:v>
      </x:c>
      <x:c r="D30" t="str">
        <x:f>'Catalogo Ferramenta'!D30</x:f>
        <x:v>Giftset Accessori - Set cricchetto 45 pezzi</x:v>
      </x:c>
      <x:c r="E30" t="str">
        <x:f>'Catalogo Ferramenta'!E30</x:f>
        <x:v>BLACK+DECKER</x:v>
      </x:c>
      <x:c r="F30" t="str">
        <x:f>'Catalogo Ferramenta'!F30</x:f>
        <x:v>ELETTROUTENSILI</x:v>
      </x:c>
      <x:c r="G30" t="str">
        <x:f>'Catalogo Ferramenta'!G30</x:f>
        <x:v>GIFTSET ACCESSORI</x:v>
      </x:c>
      <x:c r="H30" s="12" t="n">
        <x:f>IF('Catalogo Ferramenta'!H30="",0,'Catalogo Ferramenta'!H30)</x:f>
        <x:v>0</x:v>
      </x:c>
      <x:c r="I30" s="12" t="n">
        <x:f>IF('Catalogo Ferramenta'!I30="",0,'Catalogo Ferramenta'!I30)</x:f>
        <x:v>0</x:v>
      </x:c>
      <x:c r="J30" s="14" t="n">
        <x:f>IF('Catalogo Ferramenta'!J30="",22,'Catalogo Ferramenta'!J30)</x:f>
        <x:v>22</x:v>
      </x:c>
      <x:c r="K30" s="14" t="n">
        <x:f>IF('Catalogo Ferramenta'!K30="",0,'Catalogo Ferramenta'!K30)</x:f>
        <x:v>0</x:v>
      </x:c>
      <x:c r="L30" s="14" t="n">
        <x:f>1</x:f>
        <x:v>1</x:v>
      </x:c>
      <x:c r="M30" t="n">
        <x:f>'Catalogo Ferramenta'!L30</x:f>
        <x:v>0</x:v>
      </x:c>
      <x:c r="N30" t="n">
        <x:f>'Catalogo Ferramenta'!M30</x:f>
        <x:v>0</x:v>
      </x:c>
      <x:c r="O30" t="str">
        <x:f>'Catalogo Ferramenta'!N30</x:f>
        <x:v>BLACK+DECKER</x:v>
      </x:c>
      <x:c r="P30" t="str">
        <x:f>'Catalogo Ferramenta'!P30</x:f>
        <x:v>Catalogo Black+Decker Lo Specialista 2026, pagina 73. Prezzi se presenti: raccomandati dal catalogo.</x:v>
      </x:c>
      <x:c r="Q30" s="14" t="n">
        <x:f>'Catalogo Ferramenta'!R30</x:f>
        <x:v>73</x:v>
      </x:c>
      <x:c r="R30" t="str">
        <x:f>'Catalogo Ferramenta'!S30</x:f>
        <x:v>B+D_CATALOGO Lo Specialista 2026.pdf</x:v>
      </x:c>
      <x:c r="S30" s="45" t="b">
        <x:f>AND(D30&lt;&gt;"",B30&lt;&gt;"")</x:f>
        <x:v>1</x:v>
      </x:c>
      <x:c r="T30" t="str">
        <x:f>TEXTJOIN("; ",TRUE,IF(D30="","manca nome",""),IF(B30="","manca barcode",""),IF(H30=0,"prezzo costo da compilare",""),IF(I30=0,"prezzo vendita da compilare",""),IF(K30=0,"quantità da compilare",""))</x:f>
        <x:v>prezzo costo da compilare; prezzo vendita da compilare; quantità da compilare</x:v>
      </x:c>
    </x:row>
    <x:row r="31">
      <x:c r="A31" t="str">
        <x:f>'Catalogo Ferramenta'!A31</x:f>
        <x:v>BD-0030</x:v>
      </x:c>
      <x:c r="B31" t="str">
        <x:f>'Catalogo Ferramenta'!B31</x:f>
        <x:v>5035048010341</x:v>
      </x:c>
      <x:c r="C31" t="str">
        <x:f>'Catalogo Ferramenta'!C31</x:f>
        <x:v>A7062-XJ</x:v>
      </x:c>
      <x:c r="D31" t="str">
        <x:f>'Catalogo Ferramenta'!D31</x:f>
        <x:v>Giftset Accessori - Set cricchetto 40 pezzi</x:v>
      </x:c>
      <x:c r="E31" t="str">
        <x:f>'Catalogo Ferramenta'!E31</x:f>
        <x:v>BLACK+DECKER</x:v>
      </x:c>
      <x:c r="F31" t="str">
        <x:f>'Catalogo Ferramenta'!F31</x:f>
        <x:v>ELETTROUTENSILI</x:v>
      </x:c>
      <x:c r="G31" t="str">
        <x:f>'Catalogo Ferramenta'!G31</x:f>
        <x:v>GIFTSET ACCESSORI</x:v>
      </x:c>
      <x:c r="H31" s="12" t="n">
        <x:f>IF('Catalogo Ferramenta'!H31="",0,'Catalogo Ferramenta'!H31)</x:f>
        <x:v>0</x:v>
      </x:c>
      <x:c r="I31" s="12" t="n">
        <x:f>IF('Catalogo Ferramenta'!I31="",0,'Catalogo Ferramenta'!I31)</x:f>
        <x:v>0</x:v>
      </x:c>
      <x:c r="J31" s="14" t="n">
        <x:f>IF('Catalogo Ferramenta'!J31="",22,'Catalogo Ferramenta'!J31)</x:f>
        <x:v>22</x:v>
      </x:c>
      <x:c r="K31" s="14" t="n">
        <x:f>IF('Catalogo Ferramenta'!K31="",0,'Catalogo Ferramenta'!K31)</x:f>
        <x:v>0</x:v>
      </x:c>
      <x:c r="L31" s="14" t="n">
        <x:f>1</x:f>
        <x:v>1</x:v>
      </x:c>
      <x:c r="M31" t="n">
        <x:f>'Catalogo Ferramenta'!L31</x:f>
        <x:v>0</x:v>
      </x:c>
      <x:c r="N31" t="n">
        <x:f>'Catalogo Ferramenta'!M31</x:f>
        <x:v>0</x:v>
      </x:c>
      <x:c r="O31" t="str">
        <x:f>'Catalogo Ferramenta'!N31</x:f>
        <x:v>BLACK+DECKER</x:v>
      </x:c>
      <x:c r="P31" t="str">
        <x:f>'Catalogo Ferramenta'!P31</x:f>
        <x:v>Catalogo Black+Decker Lo Specialista 2026, pagina 73. Prezzi se presenti: raccomandati dal catalogo.</x:v>
      </x:c>
      <x:c r="Q31" s="14" t="n">
        <x:f>'Catalogo Ferramenta'!R31</x:f>
        <x:v>73</x:v>
      </x:c>
      <x:c r="R31" t="str">
        <x:f>'Catalogo Ferramenta'!S31</x:f>
        <x:v>B+D_CATALOGO Lo Specialista 2026.pdf</x:v>
      </x:c>
      <x:c r="S31" s="45" t="b">
        <x:f>AND(D31&lt;&gt;"",B31&lt;&gt;"")</x:f>
        <x:v>1</x:v>
      </x:c>
      <x:c r="T31" t="str">
        <x:f>TEXTJOIN("; ",TRUE,IF(D31="","manca nome",""),IF(B31="","manca barcode",""),IF(H31=0,"prezzo costo da compilare",""),IF(I31=0,"prezzo vendita da compilare",""),IF(K31=0,"quantità da compilare",""))</x:f>
        <x:v>prezzo costo da compilare; prezzo vendita da compilare; quantità da compilare</x:v>
      </x:c>
    </x:row>
    <x:row r="32">
      <x:c r="A32" t="str">
        <x:f>'Catalogo Ferramenta'!A32</x:f>
        <x:v>BD-0031</x:v>
      </x:c>
      <x:c r="B32" t="str">
        <x:f>'Catalogo Ferramenta'!B32</x:f>
        <x:v>5035048010396</x:v>
      </x:c>
      <x:c r="C32" t="str">
        <x:f>'Catalogo Ferramenta'!C32</x:f>
        <x:v>A7073-XJ</x:v>
      </x:c>
      <x:c r="D32" t="str">
        <x:f>'Catalogo Ferramenta'!D32</x:f>
        <x:v>Giftset Accessori - Set alcaline</x:v>
      </x:c>
      <x:c r="E32" t="str">
        <x:f>'Catalogo Ferramenta'!E32</x:f>
        <x:v>BLACK+DECKER</x:v>
      </x:c>
      <x:c r="F32" t="str">
        <x:f>'Catalogo Ferramenta'!F32</x:f>
        <x:v>ELETTROUTENSILI</x:v>
      </x:c>
      <x:c r="G32" t="str">
        <x:f>'Catalogo Ferramenta'!G32</x:f>
        <x:v>GIFTSET ACCESSORI</x:v>
      </x:c>
      <x:c r="H32" s="12" t="n">
        <x:f>IF('Catalogo Ferramenta'!H32="",0,'Catalogo Ferramenta'!H32)</x:f>
        <x:v>0</x:v>
      </x:c>
      <x:c r="I32" s="12" t="n">
        <x:f>IF('Catalogo Ferramenta'!I32="",0,'Catalogo Ferramenta'!I32)</x:f>
        <x:v>0</x:v>
      </x:c>
      <x:c r="J32" s="14" t="n">
        <x:f>IF('Catalogo Ferramenta'!J32="",22,'Catalogo Ferramenta'!J32)</x:f>
        <x:v>22</x:v>
      </x:c>
      <x:c r="K32" s="14" t="n">
        <x:f>IF('Catalogo Ferramenta'!K32="",0,'Catalogo Ferramenta'!K32)</x:f>
        <x:v>0</x:v>
      </x:c>
      <x:c r="L32" s="14" t="n">
        <x:f>1</x:f>
        <x:v>1</x:v>
      </x:c>
      <x:c r="M32" t="n">
        <x:f>'Catalogo Ferramenta'!L32</x:f>
        <x:v>0</x:v>
      </x:c>
      <x:c r="N32" t="n">
        <x:f>'Catalogo Ferramenta'!M32</x:f>
        <x:v>0</x:v>
      </x:c>
      <x:c r="O32" t="str">
        <x:f>'Catalogo Ferramenta'!N32</x:f>
        <x:v>BLACK+DECKER</x:v>
      </x:c>
      <x:c r="P32" t="str">
        <x:f>'Catalogo Ferramenta'!P32</x:f>
        <x:v>Catalogo Black+Decker Lo Specialista 2026, pagina 74. Prezzi se presenti: raccomandati dal catalogo.</x:v>
      </x:c>
      <x:c r="Q32" s="14" t="n">
        <x:f>'Catalogo Ferramenta'!R32</x:f>
        <x:v>74</x:v>
      </x:c>
      <x:c r="R32" t="str">
        <x:f>'Catalogo Ferramenta'!S32</x:f>
        <x:v>B+D_CATALOGO Lo Specialista 2026.pdf</x:v>
      </x:c>
      <x:c r="S32" s="45" t="b">
        <x:f>AND(D32&lt;&gt;"",B32&lt;&gt;"")</x:f>
        <x:v>1</x:v>
      </x:c>
      <x:c r="T32" t="str">
        <x:f>TEXTJOIN("; ",TRUE,IF(D32="","manca nome",""),IF(B32="","manca barcode",""),IF(H32=0,"prezzo costo da compilare",""),IF(I32=0,"prezzo vendita da compilare",""),IF(K32=0,"quantità da compilare",""))</x:f>
        <x:v>prezzo costo da compilare; prezzo vendita da compilare; quantità da compilare</x:v>
      </x:c>
    </x:row>
    <x:row r="33">
      <x:c r="A33" t="str">
        <x:f>'Catalogo Ferramenta'!A33</x:f>
        <x:v>BD-0032</x:v>
      </x:c>
      <x:c r="B33" t="str">
        <x:f>'Catalogo Ferramenta'!B33</x:f>
        <x:v>5035048010624</x:v>
      </x:c>
      <x:c r="C33" t="str">
        <x:f>'Catalogo Ferramenta'!C33</x:f>
        <x:v>A7104-XJ</x:v>
      </x:c>
      <x:c r="D33" t="str">
        <x:f>'Catalogo Ferramenta'!D33</x:f>
        <x:v>Giftset Accessori - Set cricchetto 56 pezzi</x:v>
      </x:c>
      <x:c r="E33" t="str">
        <x:f>'Catalogo Ferramenta'!E33</x:f>
        <x:v>BLACK+DECKER</x:v>
      </x:c>
      <x:c r="F33" t="str">
        <x:f>'Catalogo Ferramenta'!F33</x:f>
        <x:v>ELETTROUTENSILI</x:v>
      </x:c>
      <x:c r="G33" t="str">
        <x:f>'Catalogo Ferramenta'!G33</x:f>
        <x:v>GIFTSET ACCESSORI</x:v>
      </x:c>
      <x:c r="H33" s="12" t="n">
        <x:f>IF('Catalogo Ferramenta'!H33="",0,'Catalogo Ferramenta'!H33)</x:f>
        <x:v>0</x:v>
      </x:c>
      <x:c r="I33" s="12" t="n">
        <x:f>IF('Catalogo Ferramenta'!I33="",0,'Catalogo Ferramenta'!I33)</x:f>
        <x:v>0</x:v>
      </x:c>
      <x:c r="J33" s="14" t="n">
        <x:f>IF('Catalogo Ferramenta'!J33="",22,'Catalogo Ferramenta'!J33)</x:f>
        <x:v>22</x:v>
      </x:c>
      <x:c r="K33" s="14" t="n">
        <x:f>IF('Catalogo Ferramenta'!K33="",0,'Catalogo Ferramenta'!K33)</x:f>
        <x:v>0</x:v>
      </x:c>
      <x:c r="L33" s="14" t="n">
        <x:f>1</x:f>
        <x:v>1</x:v>
      </x:c>
      <x:c r="M33" t="n">
        <x:f>'Catalogo Ferramenta'!L33</x:f>
        <x:v>0</x:v>
      </x:c>
      <x:c r="N33" t="n">
        <x:f>'Catalogo Ferramenta'!M33</x:f>
        <x:v>0</x:v>
      </x:c>
      <x:c r="O33" t="str">
        <x:f>'Catalogo Ferramenta'!N33</x:f>
        <x:v>BLACK+DECKER</x:v>
      </x:c>
      <x:c r="P33" t="str">
        <x:f>'Catalogo Ferramenta'!P33</x:f>
        <x:v>Catalogo Black+Decker Lo Specialista 2026, pagina 73. Prezzi se presenti: raccomandati dal catalogo.</x:v>
      </x:c>
      <x:c r="Q33" s="14" t="n">
        <x:f>'Catalogo Ferramenta'!R33</x:f>
        <x:v>73</x:v>
      </x:c>
      <x:c r="R33" t="str">
        <x:f>'Catalogo Ferramenta'!S33</x:f>
        <x:v>B+D_CATALOGO Lo Specialista 2026.pdf</x:v>
      </x:c>
      <x:c r="S33" s="45" t="b">
        <x:f>AND(D33&lt;&gt;"",B33&lt;&gt;"")</x:f>
        <x:v>1</x:v>
      </x:c>
      <x:c r="T33" t="str">
        <x:f>TEXTJOIN("; ",TRUE,IF(D33="","manca nome",""),IF(B33="","manca barcode",""),IF(H33=0,"prezzo costo da compilare",""),IF(I33=0,"prezzo vendita da compilare",""),IF(K33=0,"quantità da compilare",""))</x:f>
        <x:v>prezzo costo da compilare; prezzo vendita da compilare; quantità da compilare</x:v>
      </x:c>
    </x:row>
    <x:row r="34">
      <x:c r="A34" t="str">
        <x:f>'Catalogo Ferramenta'!A34</x:f>
        <x:v>BD-0033</x:v>
      </x:c>
      <x:c r="B34" t="str">
        <x:f>'Catalogo Ferramenta'!B34</x:f>
        <x:v>5035048010822</x:v>
      </x:c>
      <x:c r="C34" t="str">
        <x:f>'Catalogo Ferramenta'!C34</x:f>
        <x:v>A7142-XJ</x:v>
      </x:c>
      <x:c r="D34" t="str">
        <x:f>'Catalogo Ferramenta'!D34</x:f>
        <x:v>Giftset Accessori - Set cricchetto + bussole 33 pezzi</x:v>
      </x:c>
      <x:c r="E34" t="str">
        <x:f>'Catalogo Ferramenta'!E34</x:f>
        <x:v>BLACK+DECKER</x:v>
      </x:c>
      <x:c r="F34" t="str">
        <x:f>'Catalogo Ferramenta'!F34</x:f>
        <x:v>ELETTROUTENSILI</x:v>
      </x:c>
      <x:c r="G34" t="str">
        <x:f>'Catalogo Ferramenta'!G34</x:f>
        <x:v>GIFTSET ACCESSORI</x:v>
      </x:c>
      <x:c r="H34" s="12" t="n">
        <x:f>IF('Catalogo Ferramenta'!H34="",0,'Catalogo Ferramenta'!H34)</x:f>
        <x:v>0</x:v>
      </x:c>
      <x:c r="I34" s="12" t="n">
        <x:f>IF('Catalogo Ferramenta'!I34="",0,'Catalogo Ferramenta'!I34)</x:f>
        <x:v>0</x:v>
      </x:c>
      <x:c r="J34" s="14" t="n">
        <x:f>IF('Catalogo Ferramenta'!J34="",22,'Catalogo Ferramenta'!J34)</x:f>
        <x:v>22</x:v>
      </x:c>
      <x:c r="K34" s="14" t="n">
        <x:f>IF('Catalogo Ferramenta'!K34="",0,'Catalogo Ferramenta'!K34)</x:f>
        <x:v>0</x:v>
      </x:c>
      <x:c r="L34" s="14" t="n">
        <x:f>1</x:f>
        <x:v>1</x:v>
      </x:c>
      <x:c r="M34" t="n">
        <x:f>'Catalogo Ferramenta'!L34</x:f>
        <x:v>0</x:v>
      </x:c>
      <x:c r="N34" t="n">
        <x:f>'Catalogo Ferramenta'!M34</x:f>
        <x:v>0</x:v>
      </x:c>
      <x:c r="O34" t="str">
        <x:f>'Catalogo Ferramenta'!N34</x:f>
        <x:v>BLACK+DECKER</x:v>
      </x:c>
      <x:c r="P34" t="str">
        <x:f>'Catalogo Ferramenta'!P34</x:f>
        <x:v>Catalogo Black+Decker Lo Specialista 2026, pagina 73. Prezzi se presenti: raccomandati dal catalogo.</x:v>
      </x:c>
      <x:c r="Q34" s="14" t="n">
        <x:f>'Catalogo Ferramenta'!R34</x:f>
        <x:v>73</x:v>
      </x:c>
      <x:c r="R34" t="str">
        <x:f>'Catalogo Ferramenta'!S34</x:f>
        <x:v>B+D_CATALOGO Lo Specialista 2026.pdf</x:v>
      </x:c>
      <x:c r="S34" s="45" t="b">
        <x:f>AND(D34&lt;&gt;"",B34&lt;&gt;"")</x:f>
        <x:v>1</x:v>
      </x:c>
      <x:c r="T34" t="str">
        <x:f>TEXTJOIN("; ",TRUE,IF(D34="","manca nome",""),IF(B34="","manca barcode",""),IF(H34=0,"prezzo costo da compilare",""),IF(I34=0,"prezzo vendita da compilare",""),IF(K34=0,"quantità da compilare",""))</x:f>
        <x:v>prezzo costo da compilare; prezzo vendita da compilare; quantità da compilare</x:v>
      </x:c>
    </x:row>
    <x:row r="35">
      <x:c r="A35" t="str">
        <x:f>'Catalogo Ferramenta'!A35</x:f>
        <x:v>BD-0034</x:v>
      </x:c>
      <x:c r="B35" t="str">
        <x:f>'Catalogo Ferramenta'!B35</x:f>
        <x:v>5035048022610</x:v>
      </x:c>
      <x:c r="C35" t="str">
        <x:f>'Catalogo Ferramenta'!C35</x:f>
        <x:v>A7186-XJ</x:v>
      </x:c>
      <x:c r="D35" t="str">
        <x:f>'Catalogo Ferramenta'!D35</x:f>
        <x:v>Giftset Accessori - Set 16 pezzi</x:v>
      </x:c>
      <x:c r="E35" t="str">
        <x:f>'Catalogo Ferramenta'!E35</x:f>
        <x:v>BLACK+DECKER</x:v>
      </x:c>
      <x:c r="F35" t="str">
        <x:f>'Catalogo Ferramenta'!F35</x:f>
        <x:v>ELETTROUTENSILI</x:v>
      </x:c>
      <x:c r="G35" t="str">
        <x:f>'Catalogo Ferramenta'!G35</x:f>
        <x:v>GIFTSET ACCESSORI</x:v>
      </x:c>
      <x:c r="H35" s="12" t="n">
        <x:f>IF('Catalogo Ferramenta'!H35="",0,'Catalogo Ferramenta'!H35)</x:f>
        <x:v>0</x:v>
      </x:c>
      <x:c r="I35" s="12" t="n">
        <x:f>IF('Catalogo Ferramenta'!I35="",0,'Catalogo Ferramenta'!I35)</x:f>
        <x:v>0</x:v>
      </x:c>
      <x:c r="J35" s="14" t="n">
        <x:f>IF('Catalogo Ferramenta'!J35="",22,'Catalogo Ferramenta'!J35)</x:f>
        <x:v>22</x:v>
      </x:c>
      <x:c r="K35" s="14" t="n">
        <x:f>IF('Catalogo Ferramenta'!K35="",0,'Catalogo Ferramenta'!K35)</x:f>
        <x:v>0</x:v>
      </x:c>
      <x:c r="L35" s="14" t="n">
        <x:f>1</x:f>
        <x:v>1</x:v>
      </x:c>
      <x:c r="M35" t="n">
        <x:f>'Catalogo Ferramenta'!L35</x:f>
        <x:v>0</x:v>
      </x:c>
      <x:c r="N35" t="n">
        <x:f>'Catalogo Ferramenta'!M35</x:f>
        <x:v>0</x:v>
      </x:c>
      <x:c r="O35" t="str">
        <x:f>'Catalogo Ferramenta'!N35</x:f>
        <x:v>BLACK+DECKER</x:v>
      </x:c>
      <x:c r="P35" t="str">
        <x:f>'Catalogo Ferramenta'!P35</x:f>
        <x:v>Catalogo Black+Decker Lo Specialista 2026, pagina 73. Prezzi se presenti: raccomandati dal catalogo.</x:v>
      </x:c>
      <x:c r="Q35" s="14" t="n">
        <x:f>'Catalogo Ferramenta'!R35</x:f>
        <x:v>73</x:v>
      </x:c>
      <x:c r="R35" t="str">
        <x:f>'Catalogo Ferramenta'!S35</x:f>
        <x:v>B+D_CATALOGO Lo Specialista 2026.pdf</x:v>
      </x:c>
      <x:c r="S35" s="45" t="b">
        <x:f>AND(D35&lt;&gt;"",B35&lt;&gt;"")</x:f>
        <x:v>1</x:v>
      </x:c>
      <x:c r="T35" t="str">
        <x:f>TEXTJOIN("; ",TRUE,IF(D35="","manca nome",""),IF(B35="","manca barcode",""),IF(H35=0,"prezzo costo da compilare",""),IF(I35=0,"prezzo vendita da compilare",""),IF(K35=0,"quantità da compilare",""))</x:f>
        <x:v>prezzo costo da compilare; prezzo vendita da compilare; quantità da compilare</x:v>
      </x:c>
    </x:row>
    <x:row r="36">
      <x:c r="A36" t="str">
        <x:f>'Catalogo Ferramenta'!A36</x:f>
        <x:v>BD-0035</x:v>
      </x:c>
      <x:c r="B36" t="str">
        <x:f>'Catalogo Ferramenta'!B36</x:f>
        <x:v>5035048022634</x:v>
      </x:c>
      <x:c r="C36" t="str">
        <x:f>'Catalogo Ferramenta'!C36</x:f>
        <x:v>A7188-XJ</x:v>
      </x:c>
      <x:c r="D36" t="str">
        <x:f>'Catalogo Ferramenta'!D36</x:f>
        <x:v>Giftset Accessori - Set 50 pezzi</x:v>
      </x:c>
      <x:c r="E36" t="str">
        <x:f>'Catalogo Ferramenta'!E36</x:f>
        <x:v>BLACK+DECKER</x:v>
      </x:c>
      <x:c r="F36" t="str">
        <x:f>'Catalogo Ferramenta'!F36</x:f>
        <x:v>ELETTROUTENSILI</x:v>
      </x:c>
      <x:c r="G36" t="str">
        <x:f>'Catalogo Ferramenta'!G36</x:f>
        <x:v>GIFTSET ACCESSORI</x:v>
      </x:c>
      <x:c r="H36" s="12" t="n">
        <x:f>IF('Catalogo Ferramenta'!H36="",0,'Catalogo Ferramenta'!H36)</x:f>
        <x:v>0</x:v>
      </x:c>
      <x:c r="I36" s="12" t="n">
        <x:f>IF('Catalogo Ferramenta'!I36="",0,'Catalogo Ferramenta'!I36)</x:f>
        <x:v>0</x:v>
      </x:c>
      <x:c r="J36" s="14" t="n">
        <x:f>IF('Catalogo Ferramenta'!J36="",22,'Catalogo Ferramenta'!J36)</x:f>
        <x:v>22</x:v>
      </x:c>
      <x:c r="K36" s="14" t="n">
        <x:f>IF('Catalogo Ferramenta'!K36="",0,'Catalogo Ferramenta'!K36)</x:f>
        <x:v>0</x:v>
      </x:c>
      <x:c r="L36" s="14" t="n">
        <x:f>1</x:f>
        <x:v>1</x:v>
      </x:c>
      <x:c r="M36" t="n">
        <x:f>'Catalogo Ferramenta'!L36</x:f>
        <x:v>0</x:v>
      </x:c>
      <x:c r="N36" t="n">
        <x:f>'Catalogo Ferramenta'!M36</x:f>
        <x:v>0</x:v>
      </x:c>
      <x:c r="O36" t="str">
        <x:f>'Catalogo Ferramenta'!N36</x:f>
        <x:v>BLACK+DECKER</x:v>
      </x:c>
      <x:c r="P36" t="str">
        <x:f>'Catalogo Ferramenta'!P36</x:f>
        <x:v>Catalogo Black+Decker Lo Specialista 2026, pagina 74. Prezzi se presenti: raccomandati dal catalogo.</x:v>
      </x:c>
      <x:c r="Q36" s="14" t="n">
        <x:f>'Catalogo Ferramenta'!R36</x:f>
        <x:v>74</x:v>
      </x:c>
      <x:c r="R36" t="str">
        <x:f>'Catalogo Ferramenta'!S36</x:f>
        <x:v>B+D_CATALOGO Lo Specialista 2026.pdf</x:v>
      </x:c>
      <x:c r="S36" s="45" t="b">
        <x:f>AND(D36&lt;&gt;"",B36&lt;&gt;"")</x:f>
        <x:v>1</x:v>
      </x:c>
      <x:c r="T36" t="str">
        <x:f>TEXTJOIN("; ",TRUE,IF(D36="","manca nome",""),IF(B36="","manca barcode",""),IF(H36=0,"prezzo costo da compilare",""),IF(I36=0,"prezzo vendita da compilare",""),IF(K36=0,"quantità da compilare",""))</x:f>
        <x:v>prezzo costo da compilare; prezzo vendita da compilare; quantità da compilare</x:v>
      </x:c>
    </x:row>
    <x:row r="37">
      <x:c r="A37" t="str">
        <x:f>'Catalogo Ferramenta'!A37</x:f>
        <x:v>BD-0036</x:v>
      </x:c>
      <x:c r="B37" t="str">
        <x:f>'Catalogo Ferramenta'!B37</x:f>
        <x:v>5035048087275</x:v>
      </x:c>
      <x:c r="C37" t="str">
        <x:f>'Catalogo Ferramenta'!C37</x:f>
        <x:v>A7200-XJ</x:v>
      </x:c>
      <x:c r="D37" t="str">
        <x:f>'Catalogo Ferramenta'!D37</x:f>
        <x:v>Giftset Accessori - Set 109 pezzi</x:v>
      </x:c>
      <x:c r="E37" t="str">
        <x:f>'Catalogo Ferramenta'!E37</x:f>
        <x:v>BLACK+DECKER</x:v>
      </x:c>
      <x:c r="F37" t="str">
        <x:f>'Catalogo Ferramenta'!F37</x:f>
        <x:v>ELETTROUTENSILI</x:v>
      </x:c>
      <x:c r="G37" t="str">
        <x:f>'Catalogo Ferramenta'!G37</x:f>
        <x:v>GIFTSET ACCESSORI</x:v>
      </x:c>
      <x:c r="H37" s="12" t="n">
        <x:f>IF('Catalogo Ferramenta'!H37="",0,'Catalogo Ferramenta'!H37)</x:f>
        <x:v>0</x:v>
      </x:c>
      <x:c r="I37" s="12" t="n">
        <x:f>IF('Catalogo Ferramenta'!I37="",0,'Catalogo Ferramenta'!I37)</x:f>
        <x:v>0</x:v>
      </x:c>
      <x:c r="J37" s="14" t="n">
        <x:f>IF('Catalogo Ferramenta'!J37="",22,'Catalogo Ferramenta'!J37)</x:f>
        <x:v>22</x:v>
      </x:c>
      <x:c r="K37" s="14" t="n">
        <x:f>IF('Catalogo Ferramenta'!K37="",0,'Catalogo Ferramenta'!K37)</x:f>
        <x:v>0</x:v>
      </x:c>
      <x:c r="L37" s="14" t="n">
        <x:f>1</x:f>
        <x:v>1</x:v>
      </x:c>
      <x:c r="M37" t="n">
        <x:f>'Catalogo Ferramenta'!L37</x:f>
        <x:v>0</x:v>
      </x:c>
      <x:c r="N37" t="n">
        <x:f>'Catalogo Ferramenta'!M37</x:f>
        <x:v>0</x:v>
      </x:c>
      <x:c r="O37" t="str">
        <x:f>'Catalogo Ferramenta'!N37</x:f>
        <x:v>BLACK+DECKER</x:v>
      </x:c>
      <x:c r="P37" t="str">
        <x:f>'Catalogo Ferramenta'!P37</x:f>
        <x:v>Catalogo Black+Decker Lo Specialista 2026, pagina 74. Prezzi se presenti: raccomandati dal catalogo.</x:v>
      </x:c>
      <x:c r="Q37" s="14" t="n">
        <x:f>'Catalogo Ferramenta'!R37</x:f>
        <x:v>74</x:v>
      </x:c>
      <x:c r="R37" t="str">
        <x:f>'Catalogo Ferramenta'!S37</x:f>
        <x:v>B+D_CATALOGO Lo Specialista 2026.pdf</x:v>
      </x:c>
      <x:c r="S37" s="45" t="b">
        <x:f>AND(D37&lt;&gt;"",B37&lt;&gt;"")</x:f>
        <x:v>1</x:v>
      </x:c>
      <x:c r="T37" t="str">
        <x:f>TEXTJOIN("; ",TRUE,IF(D37="","manca nome",""),IF(B37="","manca barcode",""),IF(H37=0,"prezzo costo da compilare",""),IF(I37=0,"prezzo vendita da compilare",""),IF(K37=0,"quantità da compilare",""))</x:f>
        <x:v>prezzo costo da compilare; prezzo vendita da compilare; quantità da compilare</x:v>
      </x:c>
    </x:row>
    <x:row r="38">
      <x:c r="A38" t="str">
        <x:f>'Catalogo Ferramenta'!A38</x:f>
        <x:v>BD-0037</x:v>
      </x:c>
      <x:c r="B38" t="str">
        <x:f>'Catalogo Ferramenta'!B38</x:f>
        <x:v>5035048087299</x:v>
      </x:c>
      <x:c r="C38" t="str">
        <x:f>'Catalogo Ferramenta'!C38</x:f>
        <x:v>A7202-XJ</x:v>
      </x:c>
      <x:c r="D38" t="str">
        <x:f>'Catalogo Ferramenta'!D38</x:f>
        <x:v>Giftset Accessori - Set 38 pezzi inserti lunghi</x:v>
      </x:c>
      <x:c r="E38" t="str">
        <x:f>'Catalogo Ferramenta'!E38</x:f>
        <x:v>BLACK+DECKER</x:v>
      </x:c>
      <x:c r="F38" t="str">
        <x:f>'Catalogo Ferramenta'!F38</x:f>
        <x:v>ELETTROUTENSILI</x:v>
      </x:c>
      <x:c r="G38" t="str">
        <x:f>'Catalogo Ferramenta'!G38</x:f>
        <x:v>GIFTSET ACCESSORI</x:v>
      </x:c>
      <x:c r="H38" s="12" t="n">
        <x:f>IF('Catalogo Ferramenta'!H38="",0,'Catalogo Ferramenta'!H38)</x:f>
        <x:v>0</x:v>
      </x:c>
      <x:c r="I38" s="12" t="n">
        <x:f>IF('Catalogo Ferramenta'!I38="",0,'Catalogo Ferramenta'!I38)</x:f>
        <x:v>0</x:v>
      </x:c>
      <x:c r="J38" s="14" t="n">
        <x:f>IF('Catalogo Ferramenta'!J38="",22,'Catalogo Ferramenta'!J38)</x:f>
        <x:v>22</x:v>
      </x:c>
      <x:c r="K38" s="14" t="n">
        <x:f>IF('Catalogo Ferramenta'!K38="",0,'Catalogo Ferramenta'!K38)</x:f>
        <x:v>0</x:v>
      </x:c>
      <x:c r="L38" s="14" t="n">
        <x:f>1</x:f>
        <x:v>1</x:v>
      </x:c>
      <x:c r="M38" t="n">
        <x:f>'Catalogo Ferramenta'!L38</x:f>
        <x:v>0</x:v>
      </x:c>
      <x:c r="N38" t="n">
        <x:f>'Catalogo Ferramenta'!M38</x:f>
        <x:v>0</x:v>
      </x:c>
      <x:c r="O38" t="str">
        <x:f>'Catalogo Ferramenta'!N38</x:f>
        <x:v>BLACK+DECKER</x:v>
      </x:c>
      <x:c r="P38" t="str">
        <x:f>'Catalogo Ferramenta'!P38</x:f>
        <x:v>Catalogo Black+Decker Lo Specialista 2026, pagina 72. Prezzi se presenti: raccomandati dal catalogo.</x:v>
      </x:c>
      <x:c r="Q38" s="14" t="n">
        <x:f>'Catalogo Ferramenta'!R38</x:f>
        <x:v>72</x:v>
      </x:c>
      <x:c r="R38" t="str">
        <x:f>'Catalogo Ferramenta'!S38</x:f>
        <x:v>B+D_CATALOGO Lo Specialista 2026.pdf</x:v>
      </x:c>
      <x:c r="S38" s="45" t="b">
        <x:f>AND(D38&lt;&gt;"",B38&lt;&gt;"")</x:f>
        <x:v>1</x:v>
      </x:c>
      <x:c r="T38" t="str">
        <x:f>TEXTJOIN("; ",TRUE,IF(D38="","manca nome",""),IF(B38="","manca barcode",""),IF(H38=0,"prezzo costo da compilare",""),IF(I38=0,"prezzo vendita da compilare",""),IF(K38=0,"quantità da compilare",""))</x:f>
        <x:v>prezzo costo da compilare; prezzo vendita da compilare; quantità da compilare</x:v>
      </x:c>
    </x:row>
    <x:row r="39">
      <x:c r="A39" t="str">
        <x:f>'Catalogo Ferramenta'!A39</x:f>
        <x:v>BD-0038</x:v>
      </x:c>
      <x:c r="B39" t="str">
        <x:f>'Catalogo Ferramenta'!B39</x:f>
        <x:v>5035048024478</x:v>
      </x:c>
      <x:c r="C39" t="str">
        <x:f>'Catalogo Ferramenta'!C39</x:f>
        <x:v>A7216-XJ</x:v>
      </x:c>
      <x:c r="D39" t="str">
        <x:f>'Catalogo Ferramenta'!D39</x:f>
        <x:v>Giftset Accessori - Set 32 pezzi</x:v>
      </x:c>
      <x:c r="E39" t="str">
        <x:f>'Catalogo Ferramenta'!E39</x:f>
        <x:v>BLACK+DECKER</x:v>
      </x:c>
      <x:c r="F39" t="str">
        <x:f>'Catalogo Ferramenta'!F39</x:f>
        <x:v>ELETTROUTENSILI</x:v>
      </x:c>
      <x:c r="G39" t="str">
        <x:f>'Catalogo Ferramenta'!G39</x:f>
        <x:v>GIFTSET ACCESSORI</x:v>
      </x:c>
      <x:c r="H39" s="12" t="n">
        <x:f>IF('Catalogo Ferramenta'!H39="",0,'Catalogo Ferramenta'!H39)</x:f>
        <x:v>0</x:v>
      </x:c>
      <x:c r="I39" s="12" t="n">
        <x:f>IF('Catalogo Ferramenta'!I39="",0,'Catalogo Ferramenta'!I39)</x:f>
        <x:v>0</x:v>
      </x:c>
      <x:c r="J39" s="14" t="n">
        <x:f>IF('Catalogo Ferramenta'!J39="",22,'Catalogo Ferramenta'!J39)</x:f>
        <x:v>22</x:v>
      </x:c>
      <x:c r="K39" s="14" t="n">
        <x:f>IF('Catalogo Ferramenta'!K39="",0,'Catalogo Ferramenta'!K39)</x:f>
        <x:v>0</x:v>
      </x:c>
      <x:c r="L39" s="14" t="n">
        <x:f>1</x:f>
        <x:v>1</x:v>
      </x:c>
      <x:c r="M39" t="n">
        <x:f>'Catalogo Ferramenta'!L39</x:f>
        <x:v>0</x:v>
      </x:c>
      <x:c r="N39" t="n">
        <x:f>'Catalogo Ferramenta'!M39</x:f>
        <x:v>0</x:v>
      </x:c>
      <x:c r="O39" t="str">
        <x:f>'Catalogo Ferramenta'!N39</x:f>
        <x:v>BLACK+DECKER</x:v>
      </x:c>
      <x:c r="P39" t="str">
        <x:f>'Catalogo Ferramenta'!P39</x:f>
        <x:v>Catalogo Black+Decker Lo Specialista 2026, pagina 73. Prezzi se presenti: raccomandati dal catalogo.</x:v>
      </x:c>
      <x:c r="Q39" s="14" t="n">
        <x:f>'Catalogo Ferramenta'!R39</x:f>
        <x:v>73</x:v>
      </x:c>
      <x:c r="R39" t="str">
        <x:f>'Catalogo Ferramenta'!S39</x:f>
        <x:v>B+D_CATALOGO Lo Specialista 2026.pdf</x:v>
      </x:c>
      <x:c r="S39" s="45" t="b">
        <x:f>AND(D39&lt;&gt;"",B39&lt;&gt;"")</x:f>
        <x:v>1</x:v>
      </x:c>
      <x:c r="T39" t="str">
        <x:f>TEXTJOIN("; ",TRUE,IF(D39="","manca nome",""),IF(B39="","manca barcode",""),IF(H39=0,"prezzo costo da compilare",""),IF(I39=0,"prezzo vendita da compilare",""),IF(K39=0,"quantità da compilare",""))</x:f>
        <x:v>prezzo costo da compilare; prezzo vendita da compilare; quantità da compilare</x:v>
      </x:c>
    </x:row>
    <x:row r="40">
      <x:c r="A40" t="str">
        <x:f>'Catalogo Ferramenta'!A40</x:f>
        <x:v>BD-0039</x:v>
      </x:c>
      <x:c r="B40" t="str">
        <x:f>'Catalogo Ferramenta'!B40</x:f>
        <x:v>5035048661642</x:v>
      </x:c>
      <x:c r="C40" t="str">
        <x:f>'Catalogo Ferramenta'!C40</x:f>
        <x:v>A7228-XJ</x:v>
      </x:c>
      <x:c r="D40" t="str">
        <x:f>'Catalogo Ferramenta'!D40</x:f>
        <x:v>Giftset Accessori - Set 31 pezzi</x:v>
      </x:c>
      <x:c r="E40" t="str">
        <x:f>'Catalogo Ferramenta'!E40</x:f>
        <x:v>BLACK+DECKER</x:v>
      </x:c>
      <x:c r="F40" t="str">
        <x:f>'Catalogo Ferramenta'!F40</x:f>
        <x:v>ELETTROUTENSILI</x:v>
      </x:c>
      <x:c r="G40" t="str">
        <x:f>'Catalogo Ferramenta'!G40</x:f>
        <x:v>GIFTSET ACCESSORI</x:v>
      </x:c>
      <x:c r="H40" s="12" t="n">
        <x:f>IF('Catalogo Ferramenta'!H40="",0,'Catalogo Ferramenta'!H40)</x:f>
        <x:v>0</x:v>
      </x:c>
      <x:c r="I40" s="12" t="n">
        <x:f>IF('Catalogo Ferramenta'!I40="",0,'Catalogo Ferramenta'!I40)</x:f>
        <x:v>0</x:v>
      </x:c>
      <x:c r="J40" s="14" t="n">
        <x:f>IF('Catalogo Ferramenta'!J40="",22,'Catalogo Ferramenta'!J40)</x:f>
        <x:v>22</x:v>
      </x:c>
      <x:c r="K40" s="14" t="n">
        <x:f>IF('Catalogo Ferramenta'!K40="",0,'Catalogo Ferramenta'!K40)</x:f>
        <x:v>0</x:v>
      </x:c>
      <x:c r="L40" s="14" t="n">
        <x:f>1</x:f>
        <x:v>1</x:v>
      </x:c>
      <x:c r="M40" t="n">
        <x:f>'Catalogo Ferramenta'!L40</x:f>
        <x:v>0</x:v>
      </x:c>
      <x:c r="N40" t="n">
        <x:f>'Catalogo Ferramenta'!M40</x:f>
        <x:v>0</x:v>
      </x:c>
      <x:c r="O40" t="str">
        <x:f>'Catalogo Ferramenta'!N40</x:f>
        <x:v>BLACK+DECKER</x:v>
      </x:c>
      <x:c r="P40" t="str">
        <x:f>'Catalogo Ferramenta'!P40</x:f>
        <x:v>Catalogo Black+Decker Lo Specialista 2026, pagina 72. Prezzi se presenti: raccomandati dal catalogo.</x:v>
      </x:c>
      <x:c r="Q40" s="14" t="n">
        <x:f>'Catalogo Ferramenta'!R40</x:f>
        <x:v>72</x:v>
      </x:c>
      <x:c r="R40" t="str">
        <x:f>'Catalogo Ferramenta'!S40</x:f>
        <x:v>B+D_CATALOGO Lo Specialista 2026.pdf</x:v>
      </x:c>
      <x:c r="S40" s="45" t="b">
        <x:f>AND(D40&lt;&gt;"",B40&lt;&gt;"")</x:f>
        <x:v>1</x:v>
      </x:c>
      <x:c r="T40" t="str">
        <x:f>TEXTJOIN("; ",TRUE,IF(D40="","manca nome",""),IF(B40="","manca barcode",""),IF(H40=0,"prezzo costo da compilare",""),IF(I40=0,"prezzo vendita da compilare",""),IF(K40=0,"quantità da compilare",""))</x:f>
        <x:v>prezzo costo da compilare; prezzo vendita da compilare; quantità da compilare</x:v>
      </x:c>
    </x:row>
    <x:row r="41">
      <x:c r="A41" t="str">
        <x:f>'Catalogo Ferramenta'!A41</x:f>
        <x:v>BD-0040</x:v>
      </x:c>
      <x:c r="B41" t="str">
        <x:f>'Catalogo Ferramenta'!B41</x:f>
        <x:v>5035048540985</x:v>
      </x:c>
      <x:c r="C41" t="str">
        <x:f>'Catalogo Ferramenta'!C41</x:f>
        <x:v>A7230-XJ</x:v>
      </x:c>
      <x:c r="D41" t="str">
        <x:f>'Catalogo Ferramenta'!D41</x:f>
        <x:v>Giftset Accessori - Set 104 pezzi</x:v>
      </x:c>
      <x:c r="E41" t="str">
        <x:f>'Catalogo Ferramenta'!E41</x:f>
        <x:v>BLACK+DECKER</x:v>
      </x:c>
      <x:c r="F41" t="str">
        <x:f>'Catalogo Ferramenta'!F41</x:f>
        <x:v>ELETTROUTENSILI</x:v>
      </x:c>
      <x:c r="G41" t="str">
        <x:f>'Catalogo Ferramenta'!G41</x:f>
        <x:v>GIFTSET ACCESSORI</x:v>
      </x:c>
      <x:c r="H41" s="12" t="n">
        <x:f>IF('Catalogo Ferramenta'!H41="",0,'Catalogo Ferramenta'!H41)</x:f>
        <x:v>0</x:v>
      </x:c>
      <x:c r="I41" s="12" t="n">
        <x:f>IF('Catalogo Ferramenta'!I41="",0,'Catalogo Ferramenta'!I41)</x:f>
        <x:v>0</x:v>
      </x:c>
      <x:c r="J41" s="14" t="n">
        <x:f>IF('Catalogo Ferramenta'!J41="",22,'Catalogo Ferramenta'!J41)</x:f>
        <x:v>22</x:v>
      </x:c>
      <x:c r="K41" s="14" t="n">
        <x:f>IF('Catalogo Ferramenta'!K41="",0,'Catalogo Ferramenta'!K41)</x:f>
        <x:v>0</x:v>
      </x:c>
      <x:c r="L41" s="14" t="n">
        <x:f>1</x:f>
        <x:v>1</x:v>
      </x:c>
      <x:c r="M41" t="n">
        <x:f>'Catalogo Ferramenta'!L41</x:f>
        <x:v>0</x:v>
      </x:c>
      <x:c r="N41" t="n">
        <x:f>'Catalogo Ferramenta'!M41</x:f>
        <x:v>0</x:v>
      </x:c>
      <x:c r="O41" t="str">
        <x:f>'Catalogo Ferramenta'!N41</x:f>
        <x:v>BLACK+DECKER</x:v>
      </x:c>
      <x:c r="P41" t="str">
        <x:f>'Catalogo Ferramenta'!P41</x:f>
        <x:v>Catalogo Black+Decker Lo Specialista 2026, pagina 74. Prezzi se presenti: raccomandati dal catalogo.</x:v>
      </x:c>
      <x:c r="Q41" s="14" t="n">
        <x:f>'Catalogo Ferramenta'!R41</x:f>
        <x:v>74</x:v>
      </x:c>
      <x:c r="R41" t="str">
        <x:f>'Catalogo Ferramenta'!S41</x:f>
        <x:v>B+D_CATALOGO Lo Specialista 2026.pdf</x:v>
      </x:c>
      <x:c r="S41" s="45" t="b">
        <x:f>AND(D41&lt;&gt;"",B41&lt;&gt;"")</x:f>
        <x:v>1</x:v>
      </x:c>
      <x:c r="T41" t="str">
        <x:f>TEXTJOIN("; ",TRUE,IF(D41="","manca nome",""),IF(B41="","manca barcode",""),IF(H41=0,"prezzo costo da compilare",""),IF(I41=0,"prezzo vendita da compilare",""),IF(K41=0,"quantità da compilare",""))</x:f>
        <x:v>prezzo costo da compilare; prezzo vendita da compilare; quantità da compilare</x:v>
      </x:c>
    </x:row>
    <x:row r="42">
      <x:c r="A42" t="str">
        <x:f>'Catalogo Ferramenta'!A42</x:f>
        <x:v>BD-0041</x:v>
      </x:c>
      <x:c r="B42" t="str">
        <x:f>'Catalogo Ferramenta'!B42</x:f>
        <x:v>5035048541005</x:v>
      </x:c>
      <x:c r="C42" t="str">
        <x:f>'Catalogo Ferramenta'!C42</x:f>
        <x:v>A7232-XJ</x:v>
      </x:c>
      <x:c r="D42" t="str">
        <x:f>'Catalogo Ferramenta'!D42</x:f>
        <x:v>Giftset Accessori - Set 50 pezzi</x:v>
      </x:c>
      <x:c r="E42" t="str">
        <x:f>'Catalogo Ferramenta'!E42</x:f>
        <x:v>BLACK+DECKER</x:v>
      </x:c>
      <x:c r="F42" t="str">
        <x:f>'Catalogo Ferramenta'!F42</x:f>
        <x:v>ELETTROUTENSILI</x:v>
      </x:c>
      <x:c r="G42" t="str">
        <x:f>'Catalogo Ferramenta'!G42</x:f>
        <x:v>GIFTSET ACCESSORI</x:v>
      </x:c>
      <x:c r="H42" s="12" t="n">
        <x:f>IF('Catalogo Ferramenta'!H42="",0,'Catalogo Ferramenta'!H42)</x:f>
        <x:v>0</x:v>
      </x:c>
      <x:c r="I42" s="12" t="n">
        <x:f>IF('Catalogo Ferramenta'!I42="",0,'Catalogo Ferramenta'!I42)</x:f>
        <x:v>0</x:v>
      </x:c>
      <x:c r="J42" s="14" t="n">
        <x:f>IF('Catalogo Ferramenta'!J42="",22,'Catalogo Ferramenta'!J42)</x:f>
        <x:v>22</x:v>
      </x:c>
      <x:c r="K42" s="14" t="n">
        <x:f>IF('Catalogo Ferramenta'!K42="",0,'Catalogo Ferramenta'!K42)</x:f>
        <x:v>0</x:v>
      </x:c>
      <x:c r="L42" s="14" t="n">
        <x:f>1</x:f>
        <x:v>1</x:v>
      </x:c>
      <x:c r="M42" t="n">
        <x:f>'Catalogo Ferramenta'!L42</x:f>
        <x:v>0</x:v>
      </x:c>
      <x:c r="N42" t="n">
        <x:f>'Catalogo Ferramenta'!M42</x:f>
        <x:v>0</x:v>
      </x:c>
      <x:c r="O42" t="str">
        <x:f>'Catalogo Ferramenta'!N42</x:f>
        <x:v>BLACK+DECKER</x:v>
      </x:c>
      <x:c r="P42" t="str">
        <x:f>'Catalogo Ferramenta'!P42</x:f>
        <x:v>Catalogo Black+Decker Lo Specialista 2026, pagina 74. Prezzi se presenti: raccomandati dal catalogo.</x:v>
      </x:c>
      <x:c r="Q42" s="14" t="n">
        <x:f>'Catalogo Ferramenta'!R42</x:f>
        <x:v>74</x:v>
      </x:c>
      <x:c r="R42" t="str">
        <x:f>'Catalogo Ferramenta'!S42</x:f>
        <x:v>B+D_CATALOGO Lo Specialista 2026.pdf</x:v>
      </x:c>
      <x:c r="S42" s="45" t="b">
        <x:f>AND(D42&lt;&gt;"",B42&lt;&gt;"")</x:f>
        <x:v>1</x:v>
      </x:c>
      <x:c r="T42" t="str">
        <x:f>TEXTJOIN("; ",TRUE,IF(D42="","manca nome",""),IF(B42="","manca barcode",""),IF(H42=0,"prezzo costo da compilare",""),IF(I42=0,"prezzo vendita da compilare",""),IF(K42=0,"quantità da compilare",""))</x:f>
        <x:v>prezzo costo da compilare; prezzo vendita da compilare; quantità da compilare</x:v>
      </x:c>
    </x:row>
    <x:row r="43">
      <x:c r="A43" t="str">
        <x:f>'Catalogo Ferramenta'!A43</x:f>
        <x:v>BD-0042</x:v>
      </x:c>
      <x:c r="B43" t="str">
        <x:f>'Catalogo Ferramenta'!B43</x:f>
        <x:v>5035048541012</x:v>
      </x:c>
      <x:c r="C43" t="str">
        <x:f>'Catalogo Ferramenta'!C43</x:f>
        <x:v>A7233-XJ</x:v>
      </x:c>
      <x:c r="D43" t="str">
        <x:f>'Catalogo Ferramenta'!D43</x:f>
        <x:v>Giftset Accessori - Set 31 pezzi</x:v>
      </x:c>
      <x:c r="E43" t="str">
        <x:f>'Catalogo Ferramenta'!E43</x:f>
        <x:v>BLACK+DECKER</x:v>
      </x:c>
      <x:c r="F43" t="str">
        <x:f>'Catalogo Ferramenta'!F43</x:f>
        <x:v>ELETTROUTENSILI</x:v>
      </x:c>
      <x:c r="G43" t="str">
        <x:f>'Catalogo Ferramenta'!G43</x:f>
        <x:v>GIFTSET ACCESSORI</x:v>
      </x:c>
      <x:c r="H43" s="12" t="n">
        <x:f>IF('Catalogo Ferramenta'!H43="",0,'Catalogo Ferramenta'!H43)</x:f>
        <x:v>0</x:v>
      </x:c>
      <x:c r="I43" s="12" t="n">
        <x:f>IF('Catalogo Ferramenta'!I43="",0,'Catalogo Ferramenta'!I43)</x:f>
        <x:v>0</x:v>
      </x:c>
      <x:c r="J43" s="14" t="n">
        <x:f>IF('Catalogo Ferramenta'!J43="",22,'Catalogo Ferramenta'!J43)</x:f>
        <x:v>22</x:v>
      </x:c>
      <x:c r="K43" s="14" t="n">
        <x:f>IF('Catalogo Ferramenta'!K43="",0,'Catalogo Ferramenta'!K43)</x:f>
        <x:v>0</x:v>
      </x:c>
      <x:c r="L43" s="14" t="n">
        <x:f>1</x:f>
        <x:v>1</x:v>
      </x:c>
      <x:c r="M43" t="n">
        <x:f>'Catalogo Ferramenta'!L43</x:f>
        <x:v>0</x:v>
      </x:c>
      <x:c r="N43" t="n">
        <x:f>'Catalogo Ferramenta'!M43</x:f>
        <x:v>0</x:v>
      </x:c>
      <x:c r="O43" t="str">
        <x:f>'Catalogo Ferramenta'!N43</x:f>
        <x:v>BLACK+DECKER</x:v>
      </x:c>
      <x:c r="P43" t="str">
        <x:f>'Catalogo Ferramenta'!P43</x:f>
        <x:v>Catalogo Black+Decker Lo Specialista 2026, pagina 73. Prezzi se presenti: raccomandati dal catalogo.</x:v>
      </x:c>
      <x:c r="Q43" s="14" t="n">
        <x:f>'Catalogo Ferramenta'!R43</x:f>
        <x:v>73</x:v>
      </x:c>
      <x:c r="R43" t="str">
        <x:f>'Catalogo Ferramenta'!S43</x:f>
        <x:v>B+D_CATALOGO Lo Specialista 2026.pdf</x:v>
      </x:c>
      <x:c r="S43" s="45" t="b">
        <x:f>AND(D43&lt;&gt;"",B43&lt;&gt;"")</x:f>
        <x:v>1</x:v>
      </x:c>
      <x:c r="T43" t="str">
        <x:f>TEXTJOIN("; ",TRUE,IF(D43="","manca nome",""),IF(B43="","manca barcode",""),IF(H43=0,"prezzo costo da compilare",""),IF(I43=0,"prezzo vendita da compilare",""),IF(K43=0,"quantità da compilare",""))</x:f>
        <x:v>prezzo costo da compilare; prezzo vendita da compilare; quantità da compilare</x:v>
      </x:c>
    </x:row>
    <x:row r="44">
      <x:c r="A44" t="str">
        <x:f>'Catalogo Ferramenta'!A44</x:f>
        <x:v>BD-0043</x:v>
      </x:c>
      <x:c r="B44" t="str">
        <x:f>'Catalogo Ferramenta'!B44</x:f>
        <x:v>5035048541029</x:v>
      </x:c>
      <x:c r="C44" t="str">
        <x:f>'Catalogo Ferramenta'!C44</x:f>
        <x:v>A7234-XJ</x:v>
      </x:c>
      <x:c r="D44" t="str">
        <x:f>'Catalogo Ferramenta'!D44</x:f>
        <x:v>Giftset Accessori - Set 45 pezzi</x:v>
      </x:c>
      <x:c r="E44" t="str">
        <x:f>'Catalogo Ferramenta'!E44</x:f>
        <x:v>BLACK+DECKER</x:v>
      </x:c>
      <x:c r="F44" t="str">
        <x:f>'Catalogo Ferramenta'!F44</x:f>
        <x:v>ELETTROUTENSILI</x:v>
      </x:c>
      <x:c r="G44" t="str">
        <x:f>'Catalogo Ferramenta'!G44</x:f>
        <x:v>GIFTSET ACCESSORI</x:v>
      </x:c>
      <x:c r="H44" s="12" t="n">
        <x:f>IF('Catalogo Ferramenta'!H44="",0,'Catalogo Ferramenta'!H44)</x:f>
        <x:v>0</x:v>
      </x:c>
      <x:c r="I44" s="12" t="n">
        <x:f>IF('Catalogo Ferramenta'!I44="",0,'Catalogo Ferramenta'!I44)</x:f>
        <x:v>0</x:v>
      </x:c>
      <x:c r="J44" s="14" t="n">
        <x:f>IF('Catalogo Ferramenta'!J44="",22,'Catalogo Ferramenta'!J44)</x:f>
        <x:v>22</x:v>
      </x:c>
      <x:c r="K44" s="14" t="n">
        <x:f>IF('Catalogo Ferramenta'!K44="",0,'Catalogo Ferramenta'!K44)</x:f>
        <x:v>0</x:v>
      </x:c>
      <x:c r="L44" s="14" t="n">
        <x:f>1</x:f>
        <x:v>1</x:v>
      </x:c>
      <x:c r="M44" t="n">
        <x:f>'Catalogo Ferramenta'!L44</x:f>
        <x:v>0</x:v>
      </x:c>
      <x:c r="N44" t="n">
        <x:f>'Catalogo Ferramenta'!M44</x:f>
        <x:v>0</x:v>
      </x:c>
      <x:c r="O44" t="str">
        <x:f>'Catalogo Ferramenta'!N44</x:f>
        <x:v>BLACK+DECKER</x:v>
      </x:c>
      <x:c r="P44" t="str">
        <x:f>'Catalogo Ferramenta'!P44</x:f>
        <x:v>Catalogo Black+Decker Lo Specialista 2026, pagina 73. Prezzi se presenti: raccomandati dal catalogo.</x:v>
      </x:c>
      <x:c r="Q44" s="14" t="n">
        <x:f>'Catalogo Ferramenta'!R44</x:f>
        <x:v>73</x:v>
      </x:c>
      <x:c r="R44" t="str">
        <x:f>'Catalogo Ferramenta'!S44</x:f>
        <x:v>B+D_CATALOGO Lo Specialista 2026.pdf</x:v>
      </x:c>
      <x:c r="S44" s="45" t="b">
        <x:f>AND(D44&lt;&gt;"",B44&lt;&gt;"")</x:f>
        <x:v>1</x:v>
      </x:c>
      <x:c r="T44" t="str">
        <x:f>TEXTJOIN("; ",TRUE,IF(D44="","manca nome",""),IF(B44="","manca barcode",""),IF(H44=0,"prezzo costo da compilare",""),IF(I44=0,"prezzo vendita da compilare",""),IF(K44=0,"quantità da compilare",""))</x:f>
        <x:v>prezzo costo da compilare; prezzo vendita da compilare; quantità da compilare</x:v>
      </x:c>
    </x:row>
    <x:row r="45">
      <x:c r="A45" t="str">
        <x:f>'Catalogo Ferramenta'!A45</x:f>
        <x:v>BD-0044</x:v>
      </x:c>
      <x:c r="B45" t="str">
        <x:f>'Catalogo Ferramenta'!B45</x:f>
        <x:v>5035048269497</x:v>
      </x:c>
      <x:c r="C45" t="str">
        <x:f>'Catalogo Ferramenta'!C45</x:f>
        <x:v>ASI200-XJ</x:v>
      </x:c>
      <x:c r="D45" t="str">
        <x:f>'Catalogo Ferramenta'!D45</x:f>
        <x:v>Compressore portatile</x:v>
      </x:c>
      <x:c r="E45" t="str">
        <x:f>'Catalogo Ferramenta'!E45</x:f>
        <x:v>BLACK+DECKER</x:v>
      </x:c>
      <x:c r="F45" t="str">
        <x:f>'Catalogo Ferramenta'!F45</x:f>
        <x:v>ELETTROUTENSILI</x:v>
      </x:c>
      <x:c r="G45" t="str">
        <x:f>'Catalogo Ferramenta'!G45</x:f>
        <x:v>COMPRESSORI</x:v>
      </x:c>
      <x:c r="H45" s="12" t="n">
        <x:f>IF('Catalogo Ferramenta'!H45="",0,'Catalogo Ferramenta'!H45)</x:f>
        <x:v>32.7</x:v>
      </x:c>
      <x:c r="I45" s="12" t="n">
        <x:f>IF('Catalogo Ferramenta'!I45="",0,'Catalogo Ferramenta'!I45)</x:f>
        <x:v>39.9</x:v>
      </x:c>
      <x:c r="J45" s="14" t="n">
        <x:f>IF('Catalogo Ferramenta'!J45="",22,'Catalogo Ferramenta'!J45)</x:f>
        <x:v>22</x:v>
      </x:c>
      <x:c r="K45" s="14" t="n">
        <x:f>IF('Catalogo Ferramenta'!K45="",0,'Catalogo Ferramenta'!K45)</x:f>
        <x:v>0</x:v>
      </x:c>
      <x:c r="L45" s="14" t="n">
        <x:f>1</x:f>
        <x:v>1</x:v>
      </x:c>
      <x:c r="M45" t="n">
        <x:f>'Catalogo Ferramenta'!L45</x:f>
        <x:v>0</x:v>
      </x:c>
      <x:c r="N45" t="n">
        <x:f>'Catalogo Ferramenta'!M45</x:f>
        <x:v>0</x:v>
      </x:c>
      <x:c r="O45" t="str">
        <x:f>'Catalogo Ferramenta'!N45</x:f>
        <x:v>BLACK+DECKER</x:v>
      </x:c>
      <x:c r="P45" t="str">
        <x:f>'Catalogo Ferramenta'!P45</x:f>
        <x:v>Catalogo Black+Decker Lo Specialista 2026, pagina 67. Prezzi se presenti: raccomandati dal catalogo.</x:v>
      </x:c>
      <x:c r="Q45" s="14" t="n">
        <x:f>'Catalogo Ferramenta'!R45</x:f>
        <x:v>67</x:v>
      </x:c>
      <x:c r="R45" t="str">
        <x:f>'Catalogo Ferramenta'!S45</x:f>
        <x:v>B+D_CATALOGO Lo Specialista 2026.pdf</x:v>
      </x:c>
      <x:c r="S45" s="45" t="b">
        <x:f>AND(D45&lt;&gt;"",B45&lt;&gt;"")</x:f>
        <x:v>1</x:v>
      </x:c>
      <x:c r="T45" t="str">
        <x:f>TEXTJOIN("; ",TRUE,IF(D45="","manca nome",""),IF(B45="","manca barcode",""),IF(H45=0,"prezzo costo da compilare",""),IF(I45=0,"prezzo vendita da compilare",""),IF(K45=0,"quantità da compilare",""))</x:f>
        <x:v>quantità da compilare</x:v>
      </x:c>
    </x:row>
    <x:row r="46">
      <x:c r="A46" t="str">
        <x:f>'Catalogo Ferramenta'!A46</x:f>
        <x:v>BD-0045</x:v>
      </x:c>
      <x:c r="B46" t="str">
        <x:f>'Catalogo Ferramenta'!B46</x:f>
        <x:v>5035048200056</x:v>
      </x:c>
      <x:c r="C46" t="str">
        <x:f>'Catalogo Ferramenta'!C46</x:f>
        <x:v>ASI300-QS</x:v>
      </x:c>
      <x:c r="D46" t="str">
        <x:f>'Catalogo Ferramenta'!D46</x:f>
        <x:v>Compressore portatile</x:v>
      </x:c>
      <x:c r="E46" t="str">
        <x:f>'Catalogo Ferramenta'!E46</x:f>
        <x:v>BLACK+DECKER</x:v>
      </x:c>
      <x:c r="F46" t="str">
        <x:f>'Catalogo Ferramenta'!F46</x:f>
        <x:v>ELETTROUTENSILI</x:v>
      </x:c>
      <x:c r="G46" t="str">
        <x:f>'Catalogo Ferramenta'!G46</x:f>
        <x:v>COMPRESSORI</x:v>
      </x:c>
      <x:c r="H46" s="12" t="n">
        <x:f>IF('Catalogo Ferramenta'!H46="",0,'Catalogo Ferramenta'!H46)</x:f>
        <x:v>49.1</x:v>
      </x:c>
      <x:c r="I46" s="12" t="n">
        <x:f>IF('Catalogo Ferramenta'!I46="",0,'Catalogo Ferramenta'!I46)</x:f>
        <x:v>59.9</x:v>
      </x:c>
      <x:c r="J46" s="14" t="n">
        <x:f>IF('Catalogo Ferramenta'!J46="",22,'Catalogo Ferramenta'!J46)</x:f>
        <x:v>22</x:v>
      </x:c>
      <x:c r="K46" s="14" t="n">
        <x:f>IF('Catalogo Ferramenta'!K46="",0,'Catalogo Ferramenta'!K46)</x:f>
        <x:v>0</x:v>
      </x:c>
      <x:c r="L46" s="14" t="n">
        <x:f>1</x:f>
        <x:v>1</x:v>
      </x:c>
      <x:c r="M46" t="n">
        <x:f>'Catalogo Ferramenta'!L46</x:f>
        <x:v>0</x:v>
      </x:c>
      <x:c r="N46" t="n">
        <x:f>'Catalogo Ferramenta'!M46</x:f>
        <x:v>0</x:v>
      </x:c>
      <x:c r="O46" t="str">
        <x:f>'Catalogo Ferramenta'!N46</x:f>
        <x:v>BLACK+DECKER</x:v>
      </x:c>
      <x:c r="P46" t="str">
        <x:f>'Catalogo Ferramenta'!P46</x:f>
        <x:v>Catalogo Black+Decker Lo Specialista 2026, pagina 68. Prezzi se presenti: raccomandati dal catalogo.</x:v>
      </x:c>
      <x:c r="Q46" s="14" t="n">
        <x:f>'Catalogo Ferramenta'!R46</x:f>
        <x:v>68</x:v>
      </x:c>
      <x:c r="R46" t="str">
        <x:f>'Catalogo Ferramenta'!S46</x:f>
        <x:v>B+D_CATALOGO Lo Specialista 2026.pdf</x:v>
      </x:c>
      <x:c r="S46" s="45" t="b">
        <x:f>AND(D46&lt;&gt;"",B46&lt;&gt;"")</x:f>
        <x:v>1</x:v>
      </x:c>
      <x:c r="T46" t="str">
        <x:f>TEXTJOIN("; ",TRUE,IF(D46="","manca nome",""),IF(B46="","manca barcode",""),IF(H46=0,"prezzo costo da compilare",""),IF(I46=0,"prezzo vendita da compilare",""),IF(K46=0,"quantità da compilare",""))</x:f>
        <x:v>quantità da compilare</x:v>
      </x:c>
    </x:row>
    <x:row r="47">
      <x:c r="A47" t="str">
        <x:f>'Catalogo Ferramenta'!A47</x:f>
        <x:v>BD-0046</x:v>
      </x:c>
      <x:c r="B47" t="str">
        <x:f>'Catalogo Ferramenta'!B47</x:f>
        <x:v>5054905026011</x:v>
      </x:c>
      <x:c r="C47" t="str">
        <x:f>'Catalogo Ferramenta'!C47</x:f>
        <x:v>ASI400-XJ</x:v>
      </x:c>
      <x:c r="D47" t="str">
        <x:f>'Catalogo Ferramenta'!D47</x:f>
        <x:v>Compressore portatile</x:v>
      </x:c>
      <x:c r="E47" t="str">
        <x:f>'Catalogo Ferramenta'!E47</x:f>
        <x:v>BLACK+DECKER</x:v>
      </x:c>
      <x:c r="F47" t="str">
        <x:f>'Catalogo Ferramenta'!F47</x:f>
        <x:v>ELETTROUTENSILI</x:v>
      </x:c>
      <x:c r="G47" t="str">
        <x:f>'Catalogo Ferramenta'!G47</x:f>
        <x:v>COMPRESSORI</x:v>
      </x:c>
      <x:c r="H47" s="12" t="n">
        <x:f>IF('Catalogo Ferramenta'!H47="",0,'Catalogo Ferramenta'!H47)</x:f>
        <x:v>49.1</x:v>
      </x:c>
      <x:c r="I47" s="12" t="n">
        <x:f>IF('Catalogo Ferramenta'!I47="",0,'Catalogo Ferramenta'!I47)</x:f>
        <x:v>59.9</x:v>
      </x:c>
      <x:c r="J47" s="14" t="n">
        <x:f>IF('Catalogo Ferramenta'!J47="",22,'Catalogo Ferramenta'!J47)</x:f>
        <x:v>22</x:v>
      </x:c>
      <x:c r="K47" s="14" t="n">
        <x:f>IF('Catalogo Ferramenta'!K47="",0,'Catalogo Ferramenta'!K47)</x:f>
        <x:v>0</x:v>
      </x:c>
      <x:c r="L47" s="14" t="n">
        <x:f>1</x:f>
        <x:v>1</x:v>
      </x:c>
      <x:c r="M47" t="n">
        <x:f>'Catalogo Ferramenta'!L47</x:f>
        <x:v>0</x:v>
      </x:c>
      <x:c r="N47" t="n">
        <x:f>'Catalogo Ferramenta'!M47</x:f>
        <x:v>0</x:v>
      </x:c>
      <x:c r="O47" t="str">
        <x:f>'Catalogo Ferramenta'!N47</x:f>
        <x:v>BLACK+DECKER</x:v>
      </x:c>
      <x:c r="P47" t="str">
        <x:f>'Catalogo Ferramenta'!P47</x:f>
        <x:v>Catalogo Black+Decker Lo Specialista 2026, pagina 68. Prezzi se presenti: raccomandati dal catalogo.</x:v>
      </x:c>
      <x:c r="Q47" s="14" t="n">
        <x:f>'Catalogo Ferramenta'!R47</x:f>
        <x:v>68</x:v>
      </x:c>
      <x:c r="R47" t="str">
        <x:f>'Catalogo Ferramenta'!S47</x:f>
        <x:v>B+D_CATALOGO Lo Specialista 2026.pdf</x:v>
      </x:c>
      <x:c r="S47" s="45" t="b">
        <x:f>AND(D47&lt;&gt;"",B47&lt;&gt;"")</x:f>
        <x:v>1</x:v>
      </x:c>
      <x:c r="T47" t="str">
        <x:f>TEXTJOIN("; ",TRUE,IF(D47="","manca nome",""),IF(B47="","manca barcode",""),IF(H47=0,"prezzo costo da compilare",""),IF(I47=0,"prezzo vendita da compilare",""),IF(K47=0,"quantità da compilare",""))</x:f>
        <x:v>quantità da compilare</x:v>
      </x:c>
    </x:row>
    <x:row r="48">
      <x:c r="A48" t="str">
        <x:f>'Catalogo Ferramenta'!A48</x:f>
        <x:v>BD-0047</x:v>
      </x:c>
      <x:c r="B48" t="str">
        <x:f>'Catalogo Ferramenta'!B48</x:f>
        <x:v>5054905244644</x:v>
      </x:c>
      <x:c r="C48" t="str">
        <x:f>'Catalogo Ferramenta'!C48</x:f>
        <x:v>BCBL200B-XJ</x:v>
      </x:c>
      <x:c r="D48" t="str">
        <x:f>'Catalogo Ferramenta'!D48</x:f>
        <x:v>Soffiatore Assiale a batteria 18V (solo corpo macchina)</x:v>
      </x:c>
      <x:c r="E48" t="str">
        <x:f>'Catalogo Ferramenta'!E48</x:f>
        <x:v>BLACK+DECKER</x:v>
      </x:c>
      <x:c r="F48" t="str">
        <x:f>'Catalogo Ferramenta'!F48</x:f>
        <x:v>GAMMA GIARDINO</x:v>
      </x:c>
      <x:c r="G48" t="str">
        <x:f>'Catalogo Ferramenta'!G48</x:f>
        <x:v>SOFFIATORI</x:v>
      </x:c>
      <x:c r="H48" s="12" t="n">
        <x:f>IF('Catalogo Ferramenta'!H48="",0,'Catalogo Ferramenta'!H48)</x:f>
        <x:v>61.4</x:v>
      </x:c>
      <x:c r="I48" s="12" t="n">
        <x:f>IF('Catalogo Ferramenta'!I48="",0,'Catalogo Ferramenta'!I48)</x:f>
        <x:v>74.9</x:v>
      </x:c>
      <x:c r="J48" s="14" t="n">
        <x:f>IF('Catalogo Ferramenta'!J48="",22,'Catalogo Ferramenta'!J48)</x:f>
        <x:v>22</x:v>
      </x:c>
      <x:c r="K48" s="14" t="n">
        <x:f>IF('Catalogo Ferramenta'!K48="",0,'Catalogo Ferramenta'!K48)</x:f>
        <x:v>0</x:v>
      </x:c>
      <x:c r="L48" s="14" t="n">
        <x:f>1</x:f>
        <x:v>1</x:v>
      </x:c>
      <x:c r="M48" t="n">
        <x:f>'Catalogo Ferramenta'!L48</x:f>
        <x:v>0</x:v>
      </x:c>
      <x:c r="N48" t="n">
        <x:f>'Catalogo Ferramenta'!M48</x:f>
        <x:v>0</x:v>
      </x:c>
      <x:c r="O48" t="str">
        <x:f>'Catalogo Ferramenta'!N48</x:f>
        <x:v>BLACK+DECKER</x:v>
      </x:c>
      <x:c r="P48" t="str">
        <x:f>'Catalogo Ferramenta'!P48</x:f>
        <x:v>Catalogo Black+Decker Lo Specialista 2026, pagina 102. Prezzi se presenti: raccomandati dal catalogo.</x:v>
      </x:c>
      <x:c r="Q48" s="14" t="n">
        <x:f>'Catalogo Ferramenta'!R48</x:f>
        <x:v>102</x:v>
      </x:c>
      <x:c r="R48" t="str">
        <x:f>'Catalogo Ferramenta'!S48</x:f>
        <x:v>B+D_CATALOGO Lo Specialista 2026.pdf</x:v>
      </x:c>
      <x:c r="S48" s="45" t="b">
        <x:f>AND(D48&lt;&gt;"",B48&lt;&gt;"")</x:f>
        <x:v>1</x:v>
      </x:c>
      <x:c r="T48" t="str">
        <x:f>TEXTJOIN("; ",TRUE,IF(D48="","manca nome",""),IF(B48="","manca barcode",""),IF(H48=0,"prezzo costo da compilare",""),IF(I48=0,"prezzo vendita da compilare",""),IF(K48=0,"quantità da compilare",""))</x:f>
        <x:v>quantità da compilare</x:v>
      </x:c>
    </x:row>
    <x:row r="49">
      <x:c r="A49" t="str">
        <x:f>'Catalogo Ferramenta'!A49</x:f>
        <x:v>BD-0048</x:v>
      </x:c>
      <x:c r="B49" t="str">
        <x:f>'Catalogo Ferramenta'!B49</x:f>
        <x:v>5035048710043</x:v>
      </x:c>
      <x:c r="C49" t="str">
        <x:f>'Catalogo Ferramenta'!C49</x:f>
        <x:v>BCBL200L-QW</x:v>
      </x:c>
      <x:c r="D49" t="str">
        <x:f>'Catalogo Ferramenta'!D49</x:f>
        <x:v>Soffiatore Assiale a batteria 18V</x:v>
      </x:c>
      <x:c r="E49" t="str">
        <x:f>'Catalogo Ferramenta'!E49</x:f>
        <x:v>BLACK+DECKER</x:v>
      </x:c>
      <x:c r="F49" t="str">
        <x:f>'Catalogo Ferramenta'!F49</x:f>
        <x:v>GAMMA GIARDINO</x:v>
      </x:c>
      <x:c r="G49" t="str">
        <x:f>'Catalogo Ferramenta'!G49</x:f>
        <x:v>SOFFIATORI</x:v>
      </x:c>
      <x:c r="H49" s="12" t="n">
        <x:f>IF('Catalogo Ferramenta'!H49="",0,'Catalogo Ferramenta'!H49)</x:f>
        <x:v>90.1</x:v>
      </x:c>
      <x:c r="I49" s="12" t="n">
        <x:f>IF('Catalogo Ferramenta'!I49="",0,'Catalogo Ferramenta'!I49)</x:f>
        <x:v>109.9</x:v>
      </x:c>
      <x:c r="J49" s="14" t="n">
        <x:f>IF('Catalogo Ferramenta'!J49="",22,'Catalogo Ferramenta'!J49)</x:f>
        <x:v>22</x:v>
      </x:c>
      <x:c r="K49" s="14" t="n">
        <x:f>IF('Catalogo Ferramenta'!K49="",0,'Catalogo Ferramenta'!K49)</x:f>
        <x:v>0</x:v>
      </x:c>
      <x:c r="L49" s="14" t="n">
        <x:f>1</x:f>
        <x:v>1</x:v>
      </x:c>
      <x:c r="M49" t="n">
        <x:f>'Catalogo Ferramenta'!L49</x:f>
        <x:v>0</x:v>
      </x:c>
      <x:c r="N49" t="n">
        <x:f>'Catalogo Ferramenta'!M49</x:f>
        <x:v>0</x:v>
      </x:c>
      <x:c r="O49" t="str">
        <x:f>'Catalogo Ferramenta'!N49</x:f>
        <x:v>BLACK+DECKER</x:v>
      </x:c>
      <x:c r="P49" t="str">
        <x:f>'Catalogo Ferramenta'!P49</x:f>
        <x:v>Catalogo Black+Decker Lo Specialista 2026, pagina 102. Prezzi se presenti: raccomandati dal catalogo.</x:v>
      </x:c>
      <x:c r="Q49" s="14" t="n">
        <x:f>'Catalogo Ferramenta'!R49</x:f>
        <x:v>102</x:v>
      </x:c>
      <x:c r="R49" t="str">
        <x:f>'Catalogo Ferramenta'!S49</x:f>
        <x:v>B+D_CATALOGO Lo Specialista 2026.pdf</x:v>
      </x:c>
      <x:c r="S49" s="45" t="b">
        <x:f>AND(D49&lt;&gt;"",B49&lt;&gt;"")</x:f>
        <x:v>1</x:v>
      </x:c>
      <x:c r="T49" t="str">
        <x:f>TEXTJOIN("; ",TRUE,IF(D49="","manca nome",""),IF(B49="","manca barcode",""),IF(H49=0,"prezzo costo da compilare",""),IF(I49=0,"prezzo vendita da compilare",""),IF(K49=0,"quantità da compilare",""))</x:f>
        <x:v>quantità da compilare</x:v>
      </x:c>
    </x:row>
    <x:row r="50">
      <x:c r="A50" t="str">
        <x:f>'Catalogo Ferramenta'!A50</x:f>
        <x:v>BD-0049</x:v>
      </x:c>
      <x:c r="B50" t="str">
        <x:f>'Catalogo Ferramenta'!B50</x:f>
        <x:v>5035048727935</x:v>
      </x:c>
      <x:c r="C50" t="str">
        <x:f>'Catalogo Ferramenta'!C50</x:f>
        <x:v>BCBLV3625L1-QW</x:v>
      </x:c>
      <x:c r="D50" t="str">
        <x:f>'Catalogo Ferramenta'!D50</x:f>
        <x:v>Soffiatore - Aspiratore - Trituratore a batteria 36V Brushless</x:v>
      </x:c>
      <x:c r="E50" t="str">
        <x:f>'Catalogo Ferramenta'!E50</x:f>
        <x:v>BLACK+DECKER</x:v>
      </x:c>
      <x:c r="F50" t="str">
        <x:f>'Catalogo Ferramenta'!F50</x:f>
        <x:v>GAMMA GIARDINO</x:v>
      </x:c>
      <x:c r="G50" t="str">
        <x:f>'Catalogo Ferramenta'!G50</x:f>
        <x:v>SOFFIATORI</x:v>
      </x:c>
      <x:c r="H50" s="12" t="n">
        <x:f>IF('Catalogo Ferramenta'!H50="",0,'Catalogo Ferramenta'!H50)</x:f>
        <x:v>196.7</x:v>
      </x:c>
      <x:c r="I50" s="12" t="n">
        <x:f>IF('Catalogo Ferramenta'!I50="",0,'Catalogo Ferramenta'!I50)</x:f>
        <x:v>240</x:v>
      </x:c>
      <x:c r="J50" s="14" t="n">
        <x:f>IF('Catalogo Ferramenta'!J50="",22,'Catalogo Ferramenta'!J50)</x:f>
        <x:v>22</x:v>
      </x:c>
      <x:c r="K50" s="14" t="n">
        <x:f>IF('Catalogo Ferramenta'!K50="",0,'Catalogo Ferramenta'!K50)</x:f>
        <x:v>0</x:v>
      </x:c>
      <x:c r="L50" s="14" t="n">
        <x:f>1</x:f>
        <x:v>1</x:v>
      </x:c>
      <x:c r="M50" t="n">
        <x:f>'Catalogo Ferramenta'!L50</x:f>
        <x:v>0</x:v>
      </x:c>
      <x:c r="N50" t="n">
        <x:f>'Catalogo Ferramenta'!M50</x:f>
        <x:v>0</x:v>
      </x:c>
      <x:c r="O50" t="str">
        <x:f>'Catalogo Ferramenta'!N50</x:f>
        <x:v>BLACK+DECKER</x:v>
      </x:c>
      <x:c r="P50" t="str">
        <x:f>'Catalogo Ferramenta'!P50</x:f>
        <x:v>Catalogo Black+Decker Lo Specialista 2026, pagina 102. Prezzi se presenti: raccomandati dal catalogo.</x:v>
      </x:c>
      <x:c r="Q50" s="14" t="n">
        <x:f>'Catalogo Ferramenta'!R50</x:f>
        <x:v>102</x:v>
      </x:c>
      <x:c r="R50" t="str">
        <x:f>'Catalogo Ferramenta'!S50</x:f>
        <x:v>B+D_CATALOGO Lo Specialista 2026.pdf</x:v>
      </x:c>
      <x:c r="S50" s="45" t="b">
        <x:f>AND(D50&lt;&gt;"",B50&lt;&gt;"")</x:f>
        <x:v>1</x:v>
      </x:c>
      <x:c r="T50" t="str">
        <x:f>TEXTJOIN("; ",TRUE,IF(D50="","manca nome",""),IF(B50="","manca barcode",""),IF(H50=0,"prezzo costo da compilare",""),IF(I50=0,"prezzo vendita da compilare",""),IF(K50=0,"quantità da compilare",""))</x:f>
        <x:v>quantità da compilare</x:v>
      </x:c>
    </x:row>
    <x:row r="51">
      <x:c r="A51" t="str">
        <x:f>'Catalogo Ferramenta'!A51</x:f>
        <x:v>BD-0050</x:v>
      </x:c>
      <x:c r="B51" t="str">
        <x:f>'Catalogo Ferramenta'!B51</x:f>
        <x:v>5035048832912</x:v>
      </x:c>
      <x:c r="C51" t="str">
        <x:f>'Catalogo Ferramenta'!C51</x:f>
        <x:v>BCD382D1XC-QW</x:v>
      </x:c>
      <x:c r="D51" t="str">
        <x:f>'Catalogo Ferramenta'!D51</x:f>
        <x:v>Trapano avvitatore a batteria 18V 2.0 Ah</x:v>
      </x:c>
      <x:c r="E51" t="str">
        <x:f>'Catalogo Ferramenta'!E51</x:f>
        <x:v>BLACK+DECKER</x:v>
      </x:c>
      <x:c r="F51" t="str">
        <x:f>'Catalogo Ferramenta'!F51</x:f>
        <x:v>ELETTROUTENSILI</x:v>
      </x:c>
      <x:c r="G51" t="str">
        <x:f>'Catalogo Ferramenta'!G51</x:f>
        <x:v>TRAPANI A BATTERIA</x:v>
      </x:c>
      <x:c r="H51" s="12" t="n">
        <x:f>IF('Catalogo Ferramenta'!H51="",0,'Catalogo Ferramenta'!H51)</x:f>
        <x:v>58.9</x:v>
      </x:c>
      <x:c r="I51" s="12" t="n">
        <x:f>IF('Catalogo Ferramenta'!I51="",0,'Catalogo Ferramenta'!I51)</x:f>
        <x:v>71.9</x:v>
      </x:c>
      <x:c r="J51" s="14" t="n">
        <x:f>IF('Catalogo Ferramenta'!J51="",22,'Catalogo Ferramenta'!J51)</x:f>
        <x:v>22</x:v>
      </x:c>
      <x:c r="K51" s="14" t="n">
        <x:f>IF('Catalogo Ferramenta'!K51="",0,'Catalogo Ferramenta'!K51)</x:f>
        <x:v>0</x:v>
      </x:c>
      <x:c r="L51" s="14" t="n">
        <x:f>1</x:f>
        <x:v>1</x:v>
      </x:c>
      <x:c r="M51" t="n">
        <x:f>'Catalogo Ferramenta'!L51</x:f>
        <x:v>0</x:v>
      </x:c>
      <x:c r="N51" t="n">
        <x:f>'Catalogo Ferramenta'!M51</x:f>
        <x:v>0</x:v>
      </x:c>
      <x:c r="O51" t="str">
        <x:f>'Catalogo Ferramenta'!N51</x:f>
        <x:v>BLACK+DECKER</x:v>
      </x:c>
      <x:c r="P51" t="str">
        <x:f>'Catalogo Ferramenta'!P51</x:f>
        <x:v>Catalogo Black+Decker Lo Specialista 2026, pagina 18. Prezzi se presenti: raccomandati dal catalogo.</x:v>
      </x:c>
      <x:c r="Q51" s="14" t="n">
        <x:f>'Catalogo Ferramenta'!R51</x:f>
        <x:v>18</x:v>
      </x:c>
      <x:c r="R51" t="str">
        <x:f>'Catalogo Ferramenta'!S51</x:f>
        <x:v>B+D_CATALOGO Lo Specialista 2026.pdf</x:v>
      </x:c>
      <x:c r="S51" s="45" t="b">
        <x:f>AND(D51&lt;&gt;"",B51&lt;&gt;"")</x:f>
        <x:v>1</x:v>
      </x:c>
      <x:c r="T51" t="str">
        <x:f>TEXTJOIN("; ",TRUE,IF(D51="","manca nome",""),IF(B51="","manca barcode",""),IF(H51=0,"prezzo costo da compilare",""),IF(I51=0,"prezzo vendita da compilare",""),IF(K51=0,"quantità da compilare",""))</x:f>
        <x:v>quantità da compilare</x:v>
      </x:c>
    </x:row>
    <x:row r="52">
      <x:c r="A52" t="str">
        <x:f>'Catalogo Ferramenta'!A52</x:f>
        <x:v>BD-0051</x:v>
      </x:c>
      <x:c r="B52" t="str">
        <x:f>'Catalogo Ferramenta'!B52</x:f>
        <x:v>5035048833384</x:v>
      </x:c>
      <x:c r="C52" t="str">
        <x:f>'Catalogo Ferramenta'!C52</x:f>
        <x:v>BCD382D1XK-QW</x:v>
      </x:c>
      <x:c r="D52" t="str">
        <x:f>'Catalogo Ferramenta'!D52</x:f>
        <x:v>Trapano avvitatore a batteria 18V 2.0 Ah in valigetta</x:v>
      </x:c>
      <x:c r="E52" t="str">
        <x:f>'Catalogo Ferramenta'!E52</x:f>
        <x:v>BLACK+DECKER</x:v>
      </x:c>
      <x:c r="F52" t="str">
        <x:f>'Catalogo Ferramenta'!F52</x:f>
        <x:v>ELETTROUTENSILI</x:v>
      </x:c>
      <x:c r="G52" t="str">
        <x:f>'Catalogo Ferramenta'!G52</x:f>
        <x:v>TRAPANI A BATTERIA</x:v>
      </x:c>
      <x:c r="H52" s="12" t="n">
        <x:f>IF('Catalogo Ferramenta'!H52="",0,'Catalogo Ferramenta'!H52)</x:f>
        <x:v>67.6</x:v>
      </x:c>
      <x:c r="I52" s="12" t="n">
        <x:f>IF('Catalogo Ferramenta'!I52="",0,'Catalogo Ferramenta'!I52)</x:f>
        <x:v>82.5</x:v>
      </x:c>
      <x:c r="J52" s="14" t="n">
        <x:f>IF('Catalogo Ferramenta'!J52="",22,'Catalogo Ferramenta'!J52)</x:f>
        <x:v>22</x:v>
      </x:c>
      <x:c r="K52" s="14" t="n">
        <x:f>IF('Catalogo Ferramenta'!K52="",0,'Catalogo Ferramenta'!K52)</x:f>
        <x:v>0</x:v>
      </x:c>
      <x:c r="L52" s="14" t="n">
        <x:f>1</x:f>
        <x:v>1</x:v>
      </x:c>
      <x:c r="M52" t="n">
        <x:f>'Catalogo Ferramenta'!L52</x:f>
        <x:v>0</x:v>
      </x:c>
      <x:c r="N52" t="n">
        <x:f>'Catalogo Ferramenta'!M52</x:f>
        <x:v>0</x:v>
      </x:c>
      <x:c r="O52" t="str">
        <x:f>'Catalogo Ferramenta'!N52</x:f>
        <x:v>BLACK+DECKER</x:v>
      </x:c>
      <x:c r="P52" t="str">
        <x:f>'Catalogo Ferramenta'!P52</x:f>
        <x:v>Catalogo Black+Decker Lo Specialista 2026, pagina 18. Prezzi se presenti: raccomandati dal catalogo.</x:v>
      </x:c>
      <x:c r="Q52" s="14" t="n">
        <x:f>'Catalogo Ferramenta'!R52</x:f>
        <x:v>18</x:v>
      </x:c>
      <x:c r="R52" t="str">
        <x:f>'Catalogo Ferramenta'!S52</x:f>
        <x:v>B+D_CATALOGO Lo Specialista 2026.pdf</x:v>
      </x:c>
      <x:c r="S52" s="45" t="b">
        <x:f>AND(D52&lt;&gt;"",B52&lt;&gt;"")</x:f>
        <x:v>1</x:v>
      </x:c>
      <x:c r="T52" t="str">
        <x:f>TEXTJOIN("; ",TRUE,IF(D52="","manca nome",""),IF(B52="","manca barcode",""),IF(H52=0,"prezzo costo da compilare",""),IF(I52=0,"prezzo vendita da compilare",""),IF(K52=0,"quantità da compilare",""))</x:f>
        <x:v>quantità da compilare</x:v>
      </x:c>
    </x:row>
    <x:row r="53">
      <x:c r="A53" t="str">
        <x:f>'Catalogo Ferramenta'!A53</x:f>
        <x:v>BD-0052</x:v>
      </x:c>
      <x:c r="B53" t="str">
        <x:f>'Catalogo Ferramenta'!B53</x:f>
        <x:v>5035048833544</x:v>
      </x:c>
      <x:c r="C53" t="str">
        <x:f>'Catalogo Ferramenta'!C53</x:f>
        <x:v>BCD382D2XK-QW</x:v>
      </x:c>
      <x:c r="D53" t="str">
        <x:f>'Catalogo Ferramenta'!D53</x:f>
        <x:v>Trapano avvitatore con doppia batteria 18V 2.0 Ah in valigetta</x:v>
      </x:c>
      <x:c r="E53" t="str">
        <x:f>'Catalogo Ferramenta'!E53</x:f>
        <x:v>BLACK+DECKER</x:v>
      </x:c>
      <x:c r="F53" t="str">
        <x:f>'Catalogo Ferramenta'!F53</x:f>
        <x:v>ELETTROUTENSILI</x:v>
      </x:c>
      <x:c r="G53" t="str">
        <x:f>'Catalogo Ferramenta'!G53</x:f>
        <x:v>TRAPANI A BATTERIA</x:v>
      </x:c>
      <x:c r="H53" s="12" t="n">
        <x:f>IF('Catalogo Ferramenta'!H53="",0,'Catalogo Ferramenta'!H53)</x:f>
        <x:v>83.5</x:v>
      </x:c>
      <x:c r="I53" s="12" t="n">
        <x:f>IF('Catalogo Ferramenta'!I53="",0,'Catalogo Ferramenta'!I53)</x:f>
        <x:v>101.9</x:v>
      </x:c>
      <x:c r="J53" s="14" t="n">
        <x:f>IF('Catalogo Ferramenta'!J53="",22,'Catalogo Ferramenta'!J53)</x:f>
        <x:v>22</x:v>
      </x:c>
      <x:c r="K53" s="14" t="n">
        <x:f>IF('Catalogo Ferramenta'!K53="",0,'Catalogo Ferramenta'!K53)</x:f>
        <x:v>0</x:v>
      </x:c>
      <x:c r="L53" s="14" t="n">
        <x:f>1</x:f>
        <x:v>1</x:v>
      </x:c>
      <x:c r="M53" t="n">
        <x:f>'Catalogo Ferramenta'!L53</x:f>
        <x:v>0</x:v>
      </x:c>
      <x:c r="N53" t="n">
        <x:f>'Catalogo Ferramenta'!M53</x:f>
        <x:v>0</x:v>
      </x:c>
      <x:c r="O53" t="str">
        <x:f>'Catalogo Ferramenta'!N53</x:f>
        <x:v>BLACK+DECKER</x:v>
      </x:c>
      <x:c r="P53" t="str">
        <x:f>'Catalogo Ferramenta'!P53</x:f>
        <x:v>Catalogo Black+Decker Lo Specialista 2026, pagina 18. Prezzi se presenti: raccomandati dal catalogo.</x:v>
      </x:c>
      <x:c r="Q53" s="14" t="n">
        <x:f>'Catalogo Ferramenta'!R53</x:f>
        <x:v>18</x:v>
      </x:c>
      <x:c r="R53" t="str">
        <x:f>'Catalogo Ferramenta'!S53</x:f>
        <x:v>B+D_CATALOGO Lo Specialista 2026.pdf</x:v>
      </x:c>
      <x:c r="S53" s="45" t="b">
        <x:f>AND(D53&lt;&gt;"",B53&lt;&gt;"")</x:f>
        <x:v>1</x:v>
      </x:c>
      <x:c r="T53" t="str">
        <x:f>TEXTJOIN("; ",TRUE,IF(D53="","manca nome",""),IF(B53="","manca barcode",""),IF(H53=0,"prezzo costo da compilare",""),IF(I53=0,"prezzo vendita da compilare",""),IF(K53=0,"quantità da compilare",""))</x:f>
        <x:v>quantità da compilare</x:v>
      </x:c>
    </x:row>
    <x:row r="54">
      <x:c r="A54" t="str">
        <x:f>'Catalogo Ferramenta'!A54</x:f>
        <x:v>BD-0053</x:v>
      </x:c>
      <x:c r="B54" t="str">
        <x:f>'Catalogo Ferramenta'!B54</x:f>
        <x:v>5035048832844</x:v>
      </x:c>
      <x:c r="C54" t="str">
        <x:f>'Catalogo Ferramenta'!C54</x:f>
        <x:v>BCD382XN-XJ</x:v>
      </x:c>
      <x:c r="D54" t="str">
        <x:f>'Catalogo Ferramenta'!D54</x:f>
        <x:v>Trapano avvitatore a batteria 18V (solo corpo macchina)</x:v>
      </x:c>
      <x:c r="E54" t="str">
        <x:f>'Catalogo Ferramenta'!E54</x:f>
        <x:v>BLACK+DECKER</x:v>
      </x:c>
      <x:c r="F54" t="str">
        <x:f>'Catalogo Ferramenta'!F54</x:f>
        <x:v>ELETTROUTENSILI</x:v>
      </x:c>
      <x:c r="G54" t="str">
        <x:f>'Catalogo Ferramenta'!G54</x:f>
        <x:v>TRAPANI A BATTERIA</x:v>
      </x:c>
      <x:c r="H54" s="12" t="n">
        <x:f>IF('Catalogo Ferramenta'!H54="",0,'Catalogo Ferramenta'!H54)</x:f>
        <x:v>40.9</x:v>
      </x:c>
      <x:c r="I54" s="12" t="n">
        <x:f>IF('Catalogo Ferramenta'!I54="",0,'Catalogo Ferramenta'!I54)</x:f>
        <x:v>49.9</x:v>
      </x:c>
      <x:c r="J54" s="14" t="n">
        <x:f>IF('Catalogo Ferramenta'!J54="",22,'Catalogo Ferramenta'!J54)</x:f>
        <x:v>22</x:v>
      </x:c>
      <x:c r="K54" s="14" t="n">
        <x:f>IF('Catalogo Ferramenta'!K54="",0,'Catalogo Ferramenta'!K54)</x:f>
        <x:v>0</x:v>
      </x:c>
      <x:c r="L54" s="14" t="n">
        <x:f>1</x:f>
        <x:v>1</x:v>
      </x:c>
      <x:c r="M54" t="n">
        <x:f>'Catalogo Ferramenta'!L54</x:f>
        <x:v>0</x:v>
      </x:c>
      <x:c r="N54" t="n">
        <x:f>'Catalogo Ferramenta'!M54</x:f>
        <x:v>0</x:v>
      </x:c>
      <x:c r="O54" t="str">
        <x:f>'Catalogo Ferramenta'!N54</x:f>
        <x:v>BLACK+DECKER</x:v>
      </x:c>
      <x:c r="P54" t="str">
        <x:f>'Catalogo Ferramenta'!P54</x:f>
        <x:v>Catalogo Black+Decker Lo Specialista 2026, pagina 18. Prezzi se presenti: raccomandati dal catalogo.</x:v>
      </x:c>
      <x:c r="Q54" s="14" t="n">
        <x:f>'Catalogo Ferramenta'!R54</x:f>
        <x:v>18</x:v>
      </x:c>
      <x:c r="R54" t="str">
        <x:f>'Catalogo Ferramenta'!S54</x:f>
        <x:v>B+D_CATALOGO Lo Specialista 2026.pdf</x:v>
      </x:c>
      <x:c r="S54" s="45" t="b">
        <x:f>AND(D54&lt;&gt;"",B54&lt;&gt;"")</x:f>
        <x:v>1</x:v>
      </x:c>
      <x:c r="T54" t="str">
        <x:f>TEXTJOIN("; ",TRUE,IF(D54="","manca nome",""),IF(B54="","manca barcode",""),IF(H54=0,"prezzo costo da compilare",""),IF(I54=0,"prezzo vendita da compilare",""),IF(K54=0,"quantità da compilare",""))</x:f>
        <x:v>quantità da compilare</x:v>
      </x:c>
    </x:row>
    <x:row r="55">
      <x:c r="A55" t="str">
        <x:f>'Catalogo Ferramenta'!A55</x:f>
        <x:v>BD-0054</x:v>
      </x:c>
      <x:c r="B55" t="str">
        <x:f>'Catalogo Ferramenta'!B55</x:f>
        <x:v>5035048833322</x:v>
      </x:c>
      <x:c r="C55" t="str">
        <x:f>'Catalogo Ferramenta'!C55</x:f>
        <x:v>BCD383D1XC-QW</x:v>
      </x:c>
      <x:c r="D55" t="str">
        <x:f>'Catalogo Ferramenta'!D55</x:f>
        <x:v>Trapano avvitatore a percussione con batteria 18V 2.0 Ah</x:v>
      </x:c>
      <x:c r="E55" t="str">
        <x:f>'Catalogo Ferramenta'!E55</x:f>
        <x:v>BLACK+DECKER</x:v>
      </x:c>
      <x:c r="F55" t="str">
        <x:f>'Catalogo Ferramenta'!F55</x:f>
        <x:v>ELETTROUTENSILI</x:v>
      </x:c>
      <x:c r="G55" t="str">
        <x:f>'Catalogo Ferramenta'!G55</x:f>
        <x:v>TRAPANI A BATTERIA</x:v>
      </x:c>
      <x:c r="H55" s="12" t="n">
        <x:f>IF('Catalogo Ferramenta'!H55="",0,'Catalogo Ferramenta'!H55)</x:f>
        <x:v>65.9</x:v>
      </x:c>
      <x:c r="I55" s="12" t="n">
        <x:f>IF('Catalogo Ferramenta'!I55="",0,'Catalogo Ferramenta'!I55)</x:f>
        <x:v>80.4</x:v>
      </x:c>
      <x:c r="J55" s="14" t="n">
        <x:f>IF('Catalogo Ferramenta'!J55="",22,'Catalogo Ferramenta'!J55)</x:f>
        <x:v>22</x:v>
      </x:c>
      <x:c r="K55" s="14" t="n">
        <x:f>IF('Catalogo Ferramenta'!K55="",0,'Catalogo Ferramenta'!K55)</x:f>
        <x:v>0</x:v>
      </x:c>
      <x:c r="L55" s="14" t="n">
        <x:f>1</x:f>
        <x:v>1</x:v>
      </x:c>
      <x:c r="M55" t="n">
        <x:f>'Catalogo Ferramenta'!L55</x:f>
        <x:v>0</x:v>
      </x:c>
      <x:c r="N55" t="n">
        <x:f>'Catalogo Ferramenta'!M55</x:f>
        <x:v>0</x:v>
      </x:c>
      <x:c r="O55" t="str">
        <x:f>'Catalogo Ferramenta'!N55</x:f>
        <x:v>BLACK+DECKER</x:v>
      </x:c>
      <x:c r="P55" t="str">
        <x:f>'Catalogo Ferramenta'!P55</x:f>
        <x:v>Catalogo Black+Decker Lo Specialista 2026, pagina 19. Prezzi se presenti: raccomandati dal catalogo.</x:v>
      </x:c>
      <x:c r="Q55" s="14" t="n">
        <x:f>'Catalogo Ferramenta'!R55</x:f>
        <x:v>19</x:v>
      </x:c>
      <x:c r="R55" t="str">
        <x:f>'Catalogo Ferramenta'!S55</x:f>
        <x:v>B+D_CATALOGO Lo Specialista 2026.pdf</x:v>
      </x:c>
      <x:c r="S55" s="45" t="b">
        <x:f>AND(D55&lt;&gt;"",B55&lt;&gt;"")</x:f>
        <x:v>1</x:v>
      </x:c>
      <x:c r="T55" t="str">
        <x:f>TEXTJOIN("; ",TRUE,IF(D55="","manca nome",""),IF(B55="","manca barcode",""),IF(H55=0,"prezzo costo da compilare",""),IF(I55=0,"prezzo vendita da compilare",""),IF(K55=0,"quantità da compilare",""))</x:f>
        <x:v>quantità da compilare</x:v>
      </x:c>
    </x:row>
    <x:row r="56">
      <x:c r="A56" t="str">
        <x:f>'Catalogo Ferramenta'!A56</x:f>
        <x:v>BD-0055</x:v>
      </x:c>
      <x:c r="B56" t="str">
        <x:f>'Catalogo Ferramenta'!B56</x:f>
        <x:v>5035048833414</x:v>
      </x:c>
      <x:c r="C56" t="str">
        <x:f>'Catalogo Ferramenta'!C56</x:f>
        <x:v>BCD383D1XK-QW</x:v>
      </x:c>
      <x:c r="D56" t="str">
        <x:f>'Catalogo Ferramenta'!D56</x:f>
        <x:v>Trapano avvitatore a percussione con batteria 18V 2.0 Ah in valigetta</x:v>
      </x:c>
      <x:c r="E56" t="str">
        <x:f>'Catalogo Ferramenta'!E56</x:f>
        <x:v>BLACK+DECKER</x:v>
      </x:c>
      <x:c r="F56" t="str">
        <x:f>'Catalogo Ferramenta'!F56</x:f>
        <x:v>ELETTROUTENSILI</x:v>
      </x:c>
      <x:c r="G56" t="str">
        <x:f>'Catalogo Ferramenta'!G56</x:f>
        <x:v>TRAPANI A BATTERIA</x:v>
      </x:c>
      <x:c r="H56" s="12" t="n">
        <x:f>IF('Catalogo Ferramenta'!H56="",0,'Catalogo Ferramenta'!H56)</x:f>
        <x:v>74.5</x:v>
      </x:c>
      <x:c r="I56" s="12" t="n">
        <x:f>IF('Catalogo Ferramenta'!I56="",0,'Catalogo Ferramenta'!I56)</x:f>
        <x:v>90.9</x:v>
      </x:c>
      <x:c r="J56" s="14" t="n">
        <x:f>IF('Catalogo Ferramenta'!J56="",22,'Catalogo Ferramenta'!J56)</x:f>
        <x:v>22</x:v>
      </x:c>
      <x:c r="K56" s="14" t="n">
        <x:f>IF('Catalogo Ferramenta'!K56="",0,'Catalogo Ferramenta'!K56)</x:f>
        <x:v>0</x:v>
      </x:c>
      <x:c r="L56" s="14" t="n">
        <x:f>1</x:f>
        <x:v>1</x:v>
      </x:c>
      <x:c r="M56" t="n">
        <x:f>'Catalogo Ferramenta'!L56</x:f>
        <x:v>0</x:v>
      </x:c>
      <x:c r="N56" t="n">
        <x:f>'Catalogo Ferramenta'!M56</x:f>
        <x:v>0</x:v>
      </x:c>
      <x:c r="O56" t="str">
        <x:f>'Catalogo Ferramenta'!N56</x:f>
        <x:v>BLACK+DECKER</x:v>
      </x:c>
      <x:c r="P56" t="str">
        <x:f>'Catalogo Ferramenta'!P56</x:f>
        <x:v>Catalogo Black+Decker Lo Specialista 2026, pagina 19. Prezzi se presenti: raccomandati dal catalogo.</x:v>
      </x:c>
      <x:c r="Q56" s="14" t="n">
        <x:f>'Catalogo Ferramenta'!R56</x:f>
        <x:v>19</x:v>
      </x:c>
      <x:c r="R56" t="str">
        <x:f>'Catalogo Ferramenta'!S56</x:f>
        <x:v>B+D_CATALOGO Lo Specialista 2026.pdf</x:v>
      </x:c>
      <x:c r="S56" s="45" t="b">
        <x:f>AND(D56&lt;&gt;"",B56&lt;&gt;"")</x:f>
        <x:v>1</x:v>
      </x:c>
      <x:c r="T56" t="str">
        <x:f>TEXTJOIN("; ",TRUE,IF(D56="","manca nome",""),IF(B56="","manca barcode",""),IF(H56=0,"prezzo costo da compilare",""),IF(I56=0,"prezzo vendita da compilare",""),IF(K56=0,"quantità da compilare",""))</x:f>
        <x:v>quantità da compilare</x:v>
      </x:c>
    </x:row>
    <x:row r="57">
      <x:c r="A57" t="str">
        <x:f>'Catalogo Ferramenta'!A57</x:f>
        <x:v>BD-0056</x:v>
      </x:c>
      <x:c r="B57" t="str">
        <x:f>'Catalogo Ferramenta'!B57</x:f>
        <x:v>5035048833513</x:v>
      </x:c>
      <x:c r="C57" t="str">
        <x:f>'Catalogo Ferramenta'!C57</x:f>
        <x:v>BCD383D2XK-QW</x:v>
      </x:c>
      <x:c r="D57" t="str">
        <x:f>'Catalogo Ferramenta'!D57</x:f>
        <x:v>Trapano avvitatore a percussione con doppia batteria 18V 2.0 Ah in valigetta</x:v>
      </x:c>
      <x:c r="E57" t="str">
        <x:f>'Catalogo Ferramenta'!E57</x:f>
        <x:v>BLACK+DECKER</x:v>
      </x:c>
      <x:c r="F57" t="str">
        <x:f>'Catalogo Ferramenta'!F57</x:f>
        <x:v>ELETTROUTENSILI</x:v>
      </x:c>
      <x:c r="G57" t="str">
        <x:f>'Catalogo Ferramenta'!G57</x:f>
        <x:v>TRAPANI A BATTERIA</x:v>
      </x:c>
      <x:c r="H57" s="12" t="n">
        <x:f>IF('Catalogo Ferramenta'!H57="",0,'Catalogo Ferramenta'!H57)</x:f>
        <x:v>90.9</x:v>
      </x:c>
      <x:c r="I57" s="12" t="n">
        <x:f>IF('Catalogo Ferramenta'!I57="",0,'Catalogo Ferramenta'!I57)</x:f>
        <x:v>110.9</x:v>
      </x:c>
      <x:c r="J57" s="14" t="n">
        <x:f>IF('Catalogo Ferramenta'!J57="",22,'Catalogo Ferramenta'!J57)</x:f>
        <x:v>22</x:v>
      </x:c>
      <x:c r="K57" s="14" t="n">
        <x:f>IF('Catalogo Ferramenta'!K57="",0,'Catalogo Ferramenta'!K57)</x:f>
        <x:v>0</x:v>
      </x:c>
      <x:c r="L57" s="14" t="n">
        <x:f>1</x:f>
        <x:v>1</x:v>
      </x:c>
      <x:c r="M57" t="n">
        <x:f>'Catalogo Ferramenta'!L57</x:f>
        <x:v>0</x:v>
      </x:c>
      <x:c r="N57" t="n">
        <x:f>'Catalogo Ferramenta'!M57</x:f>
        <x:v>0</x:v>
      </x:c>
      <x:c r="O57" t="str">
        <x:f>'Catalogo Ferramenta'!N57</x:f>
        <x:v>BLACK+DECKER</x:v>
      </x:c>
      <x:c r="P57" t="str">
        <x:f>'Catalogo Ferramenta'!P57</x:f>
        <x:v>Catalogo Black+Decker Lo Specialista 2026, pagina 19. Prezzi se presenti: raccomandati dal catalogo.</x:v>
      </x:c>
      <x:c r="Q57" s="14" t="n">
        <x:f>'Catalogo Ferramenta'!R57</x:f>
        <x:v>19</x:v>
      </x:c>
      <x:c r="R57" t="str">
        <x:f>'Catalogo Ferramenta'!S57</x:f>
        <x:v>B+D_CATALOGO Lo Specialista 2026.pdf</x:v>
      </x:c>
      <x:c r="S57" s="45" t="b">
        <x:f>AND(D57&lt;&gt;"",B57&lt;&gt;"")</x:f>
        <x:v>1</x:v>
      </x:c>
      <x:c r="T57" t="str">
        <x:f>TEXTJOIN("; ",TRUE,IF(D57="","manca nome",""),IF(B57="","manca barcode",""),IF(H57=0,"prezzo costo da compilare",""),IF(I57=0,"prezzo vendita da compilare",""),IF(K57=0,"quantità da compilare",""))</x:f>
        <x:v>quantità da compilare</x:v>
      </x:c>
    </x:row>
    <x:row r="58">
      <x:c r="A58" t="str">
        <x:f>'Catalogo Ferramenta'!A58</x:f>
        <x:v>BD-0057</x:v>
      </x:c>
      <x:c r="B58" t="str">
        <x:f>'Catalogo Ferramenta'!B58</x:f>
        <x:v>5035048832882</x:v>
      </x:c>
      <x:c r="C58" t="str">
        <x:f>'Catalogo Ferramenta'!C58</x:f>
        <x:v>BCD383XN-XJ</x:v>
      </x:c>
      <x:c r="D58" t="str">
        <x:f>'Catalogo Ferramenta'!D58</x:f>
        <x:v>Trapano avvitatore a percussione con batteria 18V (solo corpo macchina)</x:v>
      </x:c>
      <x:c r="E58" t="str">
        <x:f>'Catalogo Ferramenta'!E58</x:f>
        <x:v>BLACK+DECKER</x:v>
      </x:c>
      <x:c r="F58" t="str">
        <x:f>'Catalogo Ferramenta'!F58</x:f>
        <x:v>ELETTROUTENSILI</x:v>
      </x:c>
      <x:c r="G58" t="str">
        <x:f>'Catalogo Ferramenta'!G58</x:f>
        <x:v>TRAPANI A BATTERIA</x:v>
      </x:c>
      <x:c r="H58" s="12" t="n">
        <x:f>IF('Catalogo Ferramenta'!H58="",0,'Catalogo Ferramenta'!H58)</x:f>
        <x:v>49.1</x:v>
      </x:c>
      <x:c r="I58" s="12" t="n">
        <x:f>IF('Catalogo Ferramenta'!I58="",0,'Catalogo Ferramenta'!I58)</x:f>
        <x:v>59.9</x:v>
      </x:c>
      <x:c r="J58" s="14" t="n">
        <x:f>IF('Catalogo Ferramenta'!J58="",22,'Catalogo Ferramenta'!J58)</x:f>
        <x:v>22</x:v>
      </x:c>
      <x:c r="K58" s="14" t="n">
        <x:f>IF('Catalogo Ferramenta'!K58="",0,'Catalogo Ferramenta'!K58)</x:f>
        <x:v>0</x:v>
      </x:c>
      <x:c r="L58" s="14" t="n">
        <x:f>1</x:f>
        <x:v>1</x:v>
      </x:c>
      <x:c r="M58" t="n">
        <x:f>'Catalogo Ferramenta'!L58</x:f>
        <x:v>0</x:v>
      </x:c>
      <x:c r="N58" t="n">
        <x:f>'Catalogo Ferramenta'!M58</x:f>
        <x:v>0</x:v>
      </x:c>
      <x:c r="O58" t="str">
        <x:f>'Catalogo Ferramenta'!N58</x:f>
        <x:v>BLACK+DECKER</x:v>
      </x:c>
      <x:c r="P58" t="str">
        <x:f>'Catalogo Ferramenta'!P58</x:f>
        <x:v>Catalogo Black+Decker Lo Specialista 2026, pagina 19. Prezzi se presenti: raccomandati dal catalogo.</x:v>
      </x:c>
      <x:c r="Q58" s="14" t="n">
        <x:f>'Catalogo Ferramenta'!R58</x:f>
        <x:v>19</x:v>
      </x:c>
      <x:c r="R58" t="str">
        <x:f>'Catalogo Ferramenta'!S58</x:f>
        <x:v>B+D_CATALOGO Lo Specialista 2026.pdf</x:v>
      </x:c>
      <x:c r="S58" s="45" t="b">
        <x:f>AND(D58&lt;&gt;"",B58&lt;&gt;"")</x:f>
        <x:v>1</x:v>
      </x:c>
      <x:c r="T58" t="str">
        <x:f>TEXTJOIN("; ",TRUE,IF(D58="","manca nome",""),IF(B58="","manca barcode",""),IF(H58=0,"prezzo costo da compilare",""),IF(I58=0,"prezzo vendita da compilare",""),IF(K58=0,"quantità da compilare",""))</x:f>
        <x:v>quantità da compilare</x:v>
      </x:c>
    </x:row>
    <x:row r="59">
      <x:c r="A59" t="str">
        <x:f>'Catalogo Ferramenta'!A59</x:f>
        <x:v>BD-0058</x:v>
      </x:c>
      <x:c r="B59" t="str">
        <x:f>'Catalogo Ferramenta'!B59</x:f>
        <x:v>5035048705032</x:v>
      </x:c>
      <x:c r="C59" t="str">
        <x:f>'Catalogo Ferramenta'!C59</x:f>
        <x:v>BCD900B-XJ</x:v>
      </x:c>
      <x:c r="D59" t="str">
        <x:f>'Catalogo Ferramenta'!D59</x:f>
        <x:v>Tassellatore a batteria 18V (solo corpo macchina)</x:v>
      </x:c>
      <x:c r="E59" t="str">
        <x:f>'Catalogo Ferramenta'!E59</x:f>
        <x:v>BLACK+DECKER</x:v>
      </x:c>
      <x:c r="F59" t="str">
        <x:f>'Catalogo Ferramenta'!F59</x:f>
        <x:v>ELETTROUTENSILI</x:v>
      </x:c>
      <x:c r="G59" t="str">
        <x:f>'Catalogo Ferramenta'!G59</x:f>
        <x:v>TASSELLATORI</x:v>
      </x:c>
      <x:c r="H59" s="12" t="n">
        <x:f>IF('Catalogo Ferramenta'!H59="",0,'Catalogo Ferramenta'!H59)</x:f>
        <x:v>90.1</x:v>
      </x:c>
      <x:c r="I59" s="12" t="n">
        <x:f>IF('Catalogo Ferramenta'!I59="",0,'Catalogo Ferramenta'!I59)</x:f>
        <x:v>109.9</x:v>
      </x:c>
      <x:c r="J59" s="14" t="n">
        <x:f>IF('Catalogo Ferramenta'!J59="",22,'Catalogo Ferramenta'!J59)</x:f>
        <x:v>22</x:v>
      </x:c>
      <x:c r="K59" s="14" t="n">
        <x:f>IF('Catalogo Ferramenta'!K59="",0,'Catalogo Ferramenta'!K59)</x:f>
        <x:v>0</x:v>
      </x:c>
      <x:c r="L59" s="14" t="n">
        <x:f>1</x:f>
        <x:v>1</x:v>
      </x:c>
      <x:c r="M59" t="n">
        <x:f>'Catalogo Ferramenta'!L59</x:f>
        <x:v>0</x:v>
      </x:c>
      <x:c r="N59" t="n">
        <x:f>'Catalogo Ferramenta'!M59</x:f>
        <x:v>0</x:v>
      </x:c>
      <x:c r="O59" t="str">
        <x:f>'Catalogo Ferramenta'!N59</x:f>
        <x:v>BLACK+DECKER</x:v>
      </x:c>
      <x:c r="P59" t="str">
        <x:f>'Catalogo Ferramenta'!P59</x:f>
        <x:v>Catalogo Black+Decker Lo Specialista 2026, pagina 24. Prezzi se presenti: raccomandati dal catalogo.</x:v>
      </x:c>
      <x:c r="Q59" s="14" t="n">
        <x:f>'Catalogo Ferramenta'!R59</x:f>
        <x:v>24</x:v>
      </x:c>
      <x:c r="R59" t="str">
        <x:f>'Catalogo Ferramenta'!S59</x:f>
        <x:v>B+D_CATALOGO Lo Specialista 2026.pdf</x:v>
      </x:c>
      <x:c r="S59" s="45" t="b">
        <x:f>AND(D59&lt;&gt;"",B59&lt;&gt;"")</x:f>
        <x:v>1</x:v>
      </x:c>
      <x:c r="T59" t="str">
        <x:f>TEXTJOIN("; ",TRUE,IF(D59="","manca nome",""),IF(B59="","manca barcode",""),IF(H59=0,"prezzo costo da compilare",""),IF(I59=0,"prezzo vendita da compilare",""),IF(K59=0,"quantità da compilare",""))</x:f>
        <x:v>quantità da compilare</x:v>
      </x:c>
    </x:row>
    <x:row r="60">
      <x:c r="A60" t="str">
        <x:f>'Catalogo Ferramenta'!A60</x:f>
        <x:v>BD-0059</x:v>
      </x:c>
      <x:c r="B60" t="str">
        <x:f>'Catalogo Ferramenta'!B60</x:f>
        <x:v>5035048728666</x:v>
      </x:c>
      <x:c r="C60" t="str">
        <x:f>'Catalogo Ferramenta'!C60</x:f>
        <x:v>BCD900D1S-QW</x:v>
      </x:c>
      <x:c r="D60" t="str">
        <x:f>'Catalogo Ferramenta'!D60</x:f>
        <x:v>Tassellatore a batteria 18V</x:v>
      </x:c>
      <x:c r="E60" t="str">
        <x:f>'Catalogo Ferramenta'!E60</x:f>
        <x:v>BLACK+DECKER</x:v>
      </x:c>
      <x:c r="F60" t="str">
        <x:f>'Catalogo Ferramenta'!F60</x:f>
        <x:v>ELETTROUTENSILI</x:v>
      </x:c>
      <x:c r="G60" t="str">
        <x:f>'Catalogo Ferramenta'!G60</x:f>
        <x:v>TASSELLATORI</x:v>
      </x:c>
      <x:c r="H60" s="12" t="n">
        <x:f>IF('Catalogo Ferramenta'!H60="",0,'Catalogo Ferramenta'!H60)</x:f>
        <x:v>131.1</x:v>
      </x:c>
      <x:c r="I60" s="12" t="n">
        <x:f>IF('Catalogo Ferramenta'!I60="",0,'Catalogo Ferramenta'!I60)</x:f>
        <x:v>159.9</x:v>
      </x:c>
      <x:c r="J60" s="14" t="n">
        <x:f>IF('Catalogo Ferramenta'!J60="",22,'Catalogo Ferramenta'!J60)</x:f>
        <x:v>22</x:v>
      </x:c>
      <x:c r="K60" s="14" t="n">
        <x:f>IF('Catalogo Ferramenta'!K60="",0,'Catalogo Ferramenta'!K60)</x:f>
        <x:v>0</x:v>
      </x:c>
      <x:c r="L60" s="14" t="n">
        <x:f>1</x:f>
        <x:v>1</x:v>
      </x:c>
      <x:c r="M60" t="n">
        <x:f>'Catalogo Ferramenta'!L60</x:f>
        <x:v>0</x:v>
      </x:c>
      <x:c r="N60" t="n">
        <x:f>'Catalogo Ferramenta'!M60</x:f>
        <x:v>0</x:v>
      </x:c>
      <x:c r="O60" t="str">
        <x:f>'Catalogo Ferramenta'!N60</x:f>
        <x:v>BLACK+DECKER</x:v>
      </x:c>
      <x:c r="P60" t="str">
        <x:f>'Catalogo Ferramenta'!P60</x:f>
        <x:v>Catalogo Black+Decker Lo Specialista 2026, pagina 24. Prezzi se presenti: raccomandati dal catalogo.</x:v>
      </x:c>
      <x:c r="Q60" s="14" t="n">
        <x:f>'Catalogo Ferramenta'!R60</x:f>
        <x:v>24</x:v>
      </x:c>
      <x:c r="R60" t="str">
        <x:f>'Catalogo Ferramenta'!S60</x:f>
        <x:v>B+D_CATALOGO Lo Specialista 2026.pdf</x:v>
      </x:c>
      <x:c r="S60" s="45" t="b">
        <x:f>AND(D60&lt;&gt;"",B60&lt;&gt;"")</x:f>
        <x:v>1</x:v>
      </x:c>
      <x:c r="T60" t="str">
        <x:f>TEXTJOIN("; ",TRUE,IF(D60="","manca nome",""),IF(B60="","manca barcode",""),IF(H60=0,"prezzo costo da compilare",""),IF(I60=0,"prezzo vendita da compilare",""),IF(K60=0,"quantità da compilare",""))</x:f>
        <x:v>quantità da compilare</x:v>
      </x:c>
    </x:row>
    <x:row r="61">
      <x:c r="A61" t="str">
        <x:f>'Catalogo Ferramenta'!A61</x:f>
        <x:v>BD-0060</x:v>
      </x:c>
      <x:c r="B61" t="str">
        <x:f>'Catalogo Ferramenta'!B61</x:f>
        <x:v>5035048726822</x:v>
      </x:c>
      <x:c r="C61" t="str">
        <x:f>'Catalogo Ferramenta'!C61</x:f>
        <x:v>BCD900E2K-QW</x:v>
      </x:c>
      <x:c r="D61" t="str">
        <x:f>'Catalogo Ferramenta'!D61</x:f>
        <x:v>Tassellatore a batteria 18V in valigetta</x:v>
      </x:c>
      <x:c r="E61" t="str">
        <x:f>'Catalogo Ferramenta'!E61</x:f>
        <x:v>BLACK+DECKER</x:v>
      </x:c>
      <x:c r="F61" t="str">
        <x:f>'Catalogo Ferramenta'!F61</x:f>
        <x:v>ELETTROUTENSILI</x:v>
      </x:c>
      <x:c r="G61" t="str">
        <x:f>'Catalogo Ferramenta'!G61</x:f>
        <x:v>TASSELLATORI</x:v>
      </x:c>
      <x:c r="H61" s="12" t="n">
        <x:f>IF('Catalogo Ferramenta'!H61="",0,'Catalogo Ferramenta'!H61)</x:f>
        <x:v>180.1</x:v>
      </x:c>
      <x:c r="I61" s="12" t="n">
        <x:f>IF('Catalogo Ferramenta'!I61="",0,'Catalogo Ferramenta'!I61)</x:f>
        <x:v>219.7</x:v>
      </x:c>
      <x:c r="J61" s="14" t="n">
        <x:f>IF('Catalogo Ferramenta'!J61="",22,'Catalogo Ferramenta'!J61)</x:f>
        <x:v>22</x:v>
      </x:c>
      <x:c r="K61" s="14" t="n">
        <x:f>IF('Catalogo Ferramenta'!K61="",0,'Catalogo Ferramenta'!K61)</x:f>
        <x:v>0</x:v>
      </x:c>
      <x:c r="L61" s="14" t="n">
        <x:f>1</x:f>
        <x:v>1</x:v>
      </x:c>
      <x:c r="M61" t="n">
        <x:f>'Catalogo Ferramenta'!L61</x:f>
        <x:v>0</x:v>
      </x:c>
      <x:c r="N61" t="n">
        <x:f>'Catalogo Ferramenta'!M61</x:f>
        <x:v>0</x:v>
      </x:c>
      <x:c r="O61" t="str">
        <x:f>'Catalogo Ferramenta'!N61</x:f>
        <x:v>BLACK+DECKER</x:v>
      </x:c>
      <x:c r="P61" t="str">
        <x:f>'Catalogo Ferramenta'!P61</x:f>
        <x:v>Catalogo Black+Decker Lo Specialista 2026, pagina 24. Prezzi se presenti: raccomandati dal catalogo.</x:v>
      </x:c>
      <x:c r="Q61" s="14" t="n">
        <x:f>'Catalogo Ferramenta'!R61</x:f>
        <x:v>24</x:v>
      </x:c>
      <x:c r="R61" t="str">
        <x:f>'Catalogo Ferramenta'!S61</x:f>
        <x:v>B+D_CATALOGO Lo Specialista 2026.pdf</x:v>
      </x:c>
      <x:c r="S61" s="45" t="b">
        <x:f>AND(D61&lt;&gt;"",B61&lt;&gt;"")</x:f>
        <x:v>1</x:v>
      </x:c>
      <x:c r="T61" t="str">
        <x:f>TEXTJOIN("; ",TRUE,IF(D61="","manca nome",""),IF(B61="","manca barcode",""),IF(H61=0,"prezzo costo da compilare",""),IF(I61=0,"prezzo vendita da compilare",""),IF(K61=0,"quantità da compilare",""))</x:f>
        <x:v>quantità da compilare</x:v>
      </x:c>
    </x:row>
    <x:row r="62">
      <x:c r="A62" t="str">
        <x:f>'Catalogo Ferramenta'!A62</x:f>
        <x:v>BD-0061</x:v>
      </x:c>
      <x:c r="B62" t="str">
        <x:f>'Catalogo Ferramenta'!B62</x:f>
        <x:v>5035048728697</x:v>
      </x:c>
      <x:c r="C62" t="str">
        <x:f>'Catalogo Ferramenta'!C62</x:f>
        <x:v>BCD900M1K-QW</x:v>
      </x:c>
      <x:c r="D62" t="str">
        <x:f>'Catalogo Ferramenta'!D62</x:f>
        <x:v>Tassellatore a batteria 18V in valigetta</x:v>
      </x:c>
      <x:c r="E62" t="str">
        <x:f>'Catalogo Ferramenta'!E62</x:f>
        <x:v>BLACK+DECKER</x:v>
      </x:c>
      <x:c r="F62" t="str">
        <x:f>'Catalogo Ferramenta'!F62</x:f>
        <x:v>ELETTROUTENSILI</x:v>
      </x:c>
      <x:c r="G62" t="str">
        <x:f>'Catalogo Ferramenta'!G62</x:f>
        <x:v>TASSELLATORI</x:v>
      </x:c>
      <x:c r="H62" s="12" t="n">
        <x:f>IF('Catalogo Ferramenta'!H62="",0,'Catalogo Ferramenta'!H62)</x:f>
        <x:v>163.9</x:v>
      </x:c>
      <x:c r="I62" s="12" t="n">
        <x:f>IF('Catalogo Ferramenta'!I62="",0,'Catalogo Ferramenta'!I62)</x:f>
        <x:v>200</x:v>
      </x:c>
      <x:c r="J62" s="14" t="n">
        <x:f>IF('Catalogo Ferramenta'!J62="",22,'Catalogo Ferramenta'!J62)</x:f>
        <x:v>22</x:v>
      </x:c>
      <x:c r="K62" s="14" t="n">
        <x:f>IF('Catalogo Ferramenta'!K62="",0,'Catalogo Ferramenta'!K62)</x:f>
        <x:v>0</x:v>
      </x:c>
      <x:c r="L62" s="14" t="n">
        <x:f>1</x:f>
        <x:v>1</x:v>
      </x:c>
      <x:c r="M62" t="n">
        <x:f>'Catalogo Ferramenta'!L62</x:f>
        <x:v>0</x:v>
      </x:c>
      <x:c r="N62" t="n">
        <x:f>'Catalogo Ferramenta'!M62</x:f>
        <x:v>0</x:v>
      </x:c>
      <x:c r="O62" t="str">
        <x:f>'Catalogo Ferramenta'!N62</x:f>
        <x:v>BLACK+DECKER</x:v>
      </x:c>
      <x:c r="P62" t="str">
        <x:f>'Catalogo Ferramenta'!P62</x:f>
        <x:v>Catalogo Black+Decker Lo Specialista 2026, pagina 24. Prezzi se presenti: raccomandati dal catalogo.</x:v>
      </x:c>
      <x:c r="Q62" s="14" t="n">
        <x:f>'Catalogo Ferramenta'!R62</x:f>
        <x:v>24</x:v>
      </x:c>
      <x:c r="R62" t="str">
        <x:f>'Catalogo Ferramenta'!S62</x:f>
        <x:v>B+D_CATALOGO Lo Specialista 2026.pdf</x:v>
      </x:c>
      <x:c r="S62" s="45" t="b">
        <x:f>AND(D62&lt;&gt;"",B62&lt;&gt;"")</x:f>
        <x:v>1</x:v>
      </x:c>
      <x:c r="T62" t="str">
        <x:f>TEXTJOIN("; ",TRUE,IF(D62="","manca nome",""),IF(B62="","manca barcode",""),IF(H62=0,"prezzo costo da compilare",""),IF(I62=0,"prezzo vendita da compilare",""),IF(K62=0,"quantità da compilare",""))</x:f>
        <x:v>quantità da compilare</x:v>
      </x:c>
    </x:row>
    <x:row r="63">
      <x:c r="A63" t="str">
        <x:f>'Catalogo Ferramenta'!A63</x:f>
        <x:v>BD-0062</x:v>
      </x:c>
      <x:c r="B63" t="str">
        <x:f>'Catalogo Ferramenta'!B63</x:f>
        <x:v>5035048716182</x:v>
      </x:c>
      <x:c r="C63" t="str">
        <x:f>'Catalogo Ferramenta'!C63</x:f>
        <x:v>BCF611CK-QW</x:v>
      </x:c>
      <x:c r="D63" t="str">
        <x:f>'Catalogo Ferramenta'!D63</x:f>
        <x:v>Svitavvita a ricarica rapida</x:v>
      </x:c>
      <x:c r="E63" t="str">
        <x:f>'Catalogo Ferramenta'!E63</x:f>
        <x:v>BLACK+DECKER</x:v>
      </x:c>
      <x:c r="F63" t="str">
        <x:f>'Catalogo Ferramenta'!F63</x:f>
        <x:v>ELETTROUTENSILI</x:v>
      </x:c>
      <x:c r="G63" t="str">
        <x:f>'Catalogo Ferramenta'!G63</x:f>
        <x:v>SVITAVVITA</x:v>
      </x:c>
      <x:c r="H63" s="12" t="n">
        <x:f>IF('Catalogo Ferramenta'!H63="",0,'Catalogo Ferramenta'!H63)</x:f>
        <x:v>32.9</x:v>
      </x:c>
      <x:c r="I63" s="12" t="n">
        <x:f>IF('Catalogo Ferramenta'!I63="",0,'Catalogo Ferramenta'!I63)</x:f>
        <x:v>40.1</x:v>
      </x:c>
      <x:c r="J63" s="14" t="n">
        <x:f>IF('Catalogo Ferramenta'!J63="",22,'Catalogo Ferramenta'!J63)</x:f>
        <x:v>22</x:v>
      </x:c>
      <x:c r="K63" s="14" t="n">
        <x:f>IF('Catalogo Ferramenta'!K63="",0,'Catalogo Ferramenta'!K63)</x:f>
        <x:v>0</x:v>
      </x:c>
      <x:c r="L63" s="14" t="n">
        <x:f>1</x:f>
        <x:v>1</x:v>
      </x:c>
      <x:c r="M63" t="n">
        <x:f>'Catalogo Ferramenta'!L63</x:f>
        <x:v>0</x:v>
      </x:c>
      <x:c r="N63" t="n">
        <x:f>'Catalogo Ferramenta'!M63</x:f>
        <x:v>0</x:v>
      </x:c>
      <x:c r="O63" t="str">
        <x:f>'Catalogo Ferramenta'!N63</x:f>
        <x:v>BLACK+DECKER</x:v>
      </x:c>
      <x:c r="P63" t="str">
        <x:f>'Catalogo Ferramenta'!P63</x:f>
        <x:v>Catalogo Black+Decker Lo Specialista 2026, pagina 27. Prezzi se presenti: raccomandati dal catalogo.</x:v>
      </x:c>
      <x:c r="Q63" s="14" t="n">
        <x:f>'Catalogo Ferramenta'!R63</x:f>
        <x:v>27</x:v>
      </x:c>
      <x:c r="R63" t="str">
        <x:f>'Catalogo Ferramenta'!S63</x:f>
        <x:v>B+D_CATALOGO Lo Specialista 2026.pdf</x:v>
      </x:c>
      <x:c r="S63" s="45" t="b">
        <x:f>AND(D63&lt;&gt;"",B63&lt;&gt;"")</x:f>
        <x:v>1</x:v>
      </x:c>
      <x:c r="T63" t="str">
        <x:f>TEXTJOIN("; ",TRUE,IF(D63="","manca nome",""),IF(B63="","manca barcode",""),IF(H63=0,"prezzo costo da compilare",""),IF(I63=0,"prezzo vendita da compilare",""),IF(K63=0,"quantità da compilare",""))</x:f>
        <x:v>quantità da compilare</x:v>
      </x:c>
    </x:row>
    <x:row r="64">
      <x:c r="A64" t="str">
        <x:f>'Catalogo Ferramenta'!A64</x:f>
        <x:v>BD-0063</x:v>
      </x:c>
      <x:c r="B64" t="str">
        <x:f>'Catalogo Ferramenta'!B64</x:f>
        <x:v>5035048836484</x:v>
      </x:c>
      <x:c r="C64" t="str">
        <x:f>'Catalogo Ferramenta'!C64</x:f>
        <x:v>BCG6L8D1S-QW</x:v>
      </x:c>
      <x:c r="D64" t="str">
        <x:f>'Catalogo Ferramenta'!D64</x:f>
        <x:v>Smerigliatrice angolare 115 mm Brushless a batteria 18V 2.0 Ah</x:v>
      </x:c>
      <x:c r="E64" t="str">
        <x:f>'Catalogo Ferramenta'!E64</x:f>
        <x:v>BLACK+DECKER</x:v>
      </x:c>
      <x:c r="F64" t="str">
        <x:f>'Catalogo Ferramenta'!F64</x:f>
        <x:v>ELETTROUTENSILI</x:v>
      </x:c>
      <x:c r="G64" t="str">
        <x:f>'Catalogo Ferramenta'!G64</x:f>
        <x:v>SMERIGLIATRICI</x:v>
      </x:c>
      <x:c r="H64" s="12" t="n">
        <x:f>IF('Catalogo Ferramenta'!H64="",0,'Catalogo Ferramenta'!H64)</x:f>
        <x:v>98.3</x:v>
      </x:c>
      <x:c r="I64" s="12" t="n">
        <x:f>IF('Catalogo Ferramenta'!I64="",0,'Catalogo Ferramenta'!I64)</x:f>
        <x:v>119.9</x:v>
      </x:c>
      <x:c r="J64" s="14" t="n">
        <x:f>IF('Catalogo Ferramenta'!J64="",22,'Catalogo Ferramenta'!J64)</x:f>
        <x:v>22</x:v>
      </x:c>
      <x:c r="K64" s="14" t="n">
        <x:f>IF('Catalogo Ferramenta'!K64="",0,'Catalogo Ferramenta'!K64)</x:f>
        <x:v>0</x:v>
      </x:c>
      <x:c r="L64" s="14" t="n">
        <x:f>1</x:f>
        <x:v>1</x:v>
      </x:c>
      <x:c r="M64" t="n">
        <x:f>'Catalogo Ferramenta'!L64</x:f>
        <x:v>0</x:v>
      </x:c>
      <x:c r="N64" t="n">
        <x:f>'Catalogo Ferramenta'!M64</x:f>
        <x:v>0</x:v>
      </x:c>
      <x:c r="O64" t="str">
        <x:f>'Catalogo Ferramenta'!N64</x:f>
        <x:v>BLACK+DECKER</x:v>
      </x:c>
      <x:c r="P64" t="str">
        <x:f>'Catalogo Ferramenta'!P64</x:f>
        <x:v>Catalogo Black+Decker Lo Specialista 2026, pagina 54. Prezzi se presenti: raccomandati dal catalogo.</x:v>
      </x:c>
      <x:c r="Q64" s="14" t="n">
        <x:f>'Catalogo Ferramenta'!R64</x:f>
        <x:v>54</x:v>
      </x:c>
      <x:c r="R64" t="str">
        <x:f>'Catalogo Ferramenta'!S64</x:f>
        <x:v>B+D_CATALOGO Lo Specialista 2026.pdf</x:v>
      </x:c>
      <x:c r="S64" s="45" t="b">
        <x:f>AND(D64&lt;&gt;"",B64&lt;&gt;"")</x:f>
        <x:v>1</x:v>
      </x:c>
      <x:c r="T64" t="str">
        <x:f>TEXTJOIN("; ",TRUE,IF(D64="","manca nome",""),IF(B64="","manca barcode",""),IF(H64=0,"prezzo costo da compilare",""),IF(I64=0,"prezzo vendita da compilare",""),IF(K64=0,"quantità da compilare",""))</x:f>
        <x:v>quantità da compilare</x:v>
      </x:c>
    </x:row>
    <x:row r="65">
      <x:c r="A65" t="str">
        <x:f>'Catalogo Ferramenta'!A65</x:f>
        <x:v>BD-0064</x:v>
      </x:c>
      <x:c r="B65" t="str">
        <x:f>'Catalogo Ferramenta'!B65</x:f>
        <x:v>5035048836545</x:v>
      </x:c>
      <x:c r="C65" t="str">
        <x:f>'Catalogo Ferramenta'!C65</x:f>
        <x:v>BCG6L8F1S-QW</x:v>
      </x:c>
      <x:c r="D65" t="str">
        <x:f>'Catalogo Ferramenta'!D65</x:f>
        <x:v>Smerigliatrice angolare 115 mm Brushless a batteria 18V 4.0 Ah</x:v>
      </x:c>
      <x:c r="E65" t="str">
        <x:f>'Catalogo Ferramenta'!E65</x:f>
        <x:v>BLACK+DECKER</x:v>
      </x:c>
      <x:c r="F65" t="str">
        <x:f>'Catalogo Ferramenta'!F65</x:f>
        <x:v>ELETTROUTENSILI</x:v>
      </x:c>
      <x:c r="G65" t="str">
        <x:f>'Catalogo Ferramenta'!G65</x:f>
        <x:v>SMERIGLIATRICI</x:v>
      </x:c>
      <x:c r="H65" s="12" t="n">
        <x:f>IF('Catalogo Ferramenta'!H65="",0,'Catalogo Ferramenta'!H65)</x:f>
        <x:v>114.6</x:v>
      </x:c>
      <x:c r="I65" s="12" t="n">
        <x:f>IF('Catalogo Ferramenta'!I65="",0,'Catalogo Ferramenta'!I65)</x:f>
        <x:v>139.8</x:v>
      </x:c>
      <x:c r="J65" s="14" t="n">
        <x:f>IF('Catalogo Ferramenta'!J65="",22,'Catalogo Ferramenta'!J65)</x:f>
        <x:v>22</x:v>
      </x:c>
      <x:c r="K65" s="14" t="n">
        <x:f>IF('Catalogo Ferramenta'!K65="",0,'Catalogo Ferramenta'!K65)</x:f>
        <x:v>0</x:v>
      </x:c>
      <x:c r="L65" s="14" t="n">
        <x:f>1</x:f>
        <x:v>1</x:v>
      </x:c>
      <x:c r="M65" t="n">
        <x:f>'Catalogo Ferramenta'!L65</x:f>
        <x:v>0</x:v>
      </x:c>
      <x:c r="N65" t="n">
        <x:f>'Catalogo Ferramenta'!M65</x:f>
        <x:v>0</x:v>
      </x:c>
      <x:c r="O65" t="str">
        <x:f>'Catalogo Ferramenta'!N65</x:f>
        <x:v>BLACK+DECKER</x:v>
      </x:c>
      <x:c r="P65" t="str">
        <x:f>'Catalogo Ferramenta'!P65</x:f>
        <x:v>Catalogo Black+Decker Lo Specialista 2026, pagina 54. Prezzi se presenti: raccomandati dal catalogo.</x:v>
      </x:c>
      <x:c r="Q65" s="14" t="n">
        <x:f>'Catalogo Ferramenta'!R65</x:f>
        <x:v>54</x:v>
      </x:c>
      <x:c r="R65" t="str">
        <x:f>'Catalogo Ferramenta'!S65</x:f>
        <x:v>B+D_CATALOGO Lo Specialista 2026.pdf</x:v>
      </x:c>
      <x:c r="S65" s="45" t="b">
        <x:f>AND(D65&lt;&gt;"",B65&lt;&gt;"")</x:f>
        <x:v>1</x:v>
      </x:c>
      <x:c r="T65" t="str">
        <x:f>TEXTJOIN("; ",TRUE,IF(D65="","manca nome",""),IF(B65="","manca barcode",""),IF(H65=0,"prezzo costo da compilare",""),IF(I65=0,"prezzo vendita da compilare",""),IF(K65=0,"quantità da compilare",""))</x:f>
        <x:v>quantità da compilare</x:v>
      </x:c>
    </x:row>
    <x:row r="66">
      <x:c r="A66" t="str">
        <x:f>'Catalogo Ferramenta'!A66</x:f>
        <x:v>BD-0065</x:v>
      </x:c>
      <x:c r="B66" t="str">
        <x:f>'Catalogo Ferramenta'!B66</x:f>
        <x:v>5035048836378</x:v>
      </x:c>
      <x:c r="C66" t="str">
        <x:f>'Catalogo Ferramenta'!C66</x:f>
        <x:v>BCG6L8N-XJ</x:v>
      </x:c>
      <x:c r="D66" t="str">
        <x:f>'Catalogo Ferramenta'!D66</x:f>
        <x:v>Smerigliatrice angolare 115 mm Brushless (solo corpo macchina)</x:v>
      </x:c>
      <x:c r="E66" t="str">
        <x:f>'Catalogo Ferramenta'!E66</x:f>
        <x:v>BLACK+DECKER</x:v>
      </x:c>
      <x:c r="F66" t="str">
        <x:f>'Catalogo Ferramenta'!F66</x:f>
        <x:v>ELETTROUTENSILI</x:v>
      </x:c>
      <x:c r="G66" t="str">
        <x:f>'Catalogo Ferramenta'!G66</x:f>
        <x:v>SMERIGLIATRICI</x:v>
      </x:c>
      <x:c r="H66" s="12" t="n">
        <x:f>IF('Catalogo Ferramenta'!H66="",0,'Catalogo Ferramenta'!H66)</x:f>
        <x:v>65.5</x:v>
      </x:c>
      <x:c r="I66" s="12" t="n">
        <x:f>IF('Catalogo Ferramenta'!I66="",0,'Catalogo Ferramenta'!I66)</x:f>
        <x:v>79.9</x:v>
      </x:c>
      <x:c r="J66" s="14" t="n">
        <x:f>IF('Catalogo Ferramenta'!J66="",22,'Catalogo Ferramenta'!J66)</x:f>
        <x:v>22</x:v>
      </x:c>
      <x:c r="K66" s="14" t="n">
        <x:f>IF('Catalogo Ferramenta'!K66="",0,'Catalogo Ferramenta'!K66)</x:f>
        <x:v>0</x:v>
      </x:c>
      <x:c r="L66" s="14" t="n">
        <x:f>1</x:f>
        <x:v>1</x:v>
      </x:c>
      <x:c r="M66" t="n">
        <x:f>'Catalogo Ferramenta'!L66</x:f>
        <x:v>0</x:v>
      </x:c>
      <x:c r="N66" t="n">
        <x:f>'Catalogo Ferramenta'!M66</x:f>
        <x:v>0</x:v>
      </x:c>
      <x:c r="O66" t="str">
        <x:f>'Catalogo Ferramenta'!N66</x:f>
        <x:v>BLACK+DECKER</x:v>
      </x:c>
      <x:c r="P66" t="str">
        <x:f>'Catalogo Ferramenta'!P66</x:f>
        <x:v>Catalogo Black+Decker Lo Specialista 2026, pagina 54. Prezzi se presenti: raccomandati dal catalogo.</x:v>
      </x:c>
      <x:c r="Q66" s="14" t="n">
        <x:f>'Catalogo Ferramenta'!R66</x:f>
        <x:v>54</x:v>
      </x:c>
      <x:c r="R66" t="str">
        <x:f>'Catalogo Ferramenta'!S66</x:f>
        <x:v>B+D_CATALOGO Lo Specialista 2026.pdf</x:v>
      </x:c>
      <x:c r="S66" s="45" t="b">
        <x:f>AND(D66&lt;&gt;"",B66&lt;&gt;"")</x:f>
        <x:v>1</x:v>
      </x:c>
      <x:c r="T66" t="str">
        <x:f>TEXTJOIN("; ",TRUE,IF(D66="","manca nome",""),IF(B66="","manca barcode",""),IF(H66=0,"prezzo costo da compilare",""),IF(I66=0,"prezzo vendita da compilare",""),IF(K66=0,"quantità da compilare",""))</x:f>
        <x:v>quantità da compilare</x:v>
      </x:c>
    </x:row>
    <x:row r="67">
      <x:c r="A67" t="str">
        <x:f>'Catalogo Ferramenta'!A67</x:f>
        <x:v>BD-0066</x:v>
      </x:c>
      <x:c r="B67" t="str">
        <x:f>'Catalogo Ferramenta'!B67</x:f>
        <x:v>5035048788660</x:v>
      </x:c>
      <x:c r="C67" t="str">
        <x:f>'Catalogo Ferramenta'!C67</x:f>
        <x:v>BCGL115-XJ</x:v>
      </x:c>
      <x:c r="D67" t="str">
        <x:f>'Catalogo Ferramenta'!D67</x:f>
        <x:v>Pistola incollatrice</x:v>
      </x:c>
      <x:c r="E67" t="str">
        <x:f>'Catalogo Ferramenta'!E67</x:f>
        <x:v>BLACK+DECKER</x:v>
      </x:c>
      <x:c r="F67" t="str">
        <x:f>'Catalogo Ferramenta'!F67</x:f>
        <x:v>ELETTROUTENSILI</x:v>
      </x:c>
      <x:c r="G67" t="str">
        <x:f>'Catalogo Ferramenta'!G67</x:f>
        <x:v>UTENSILI PER DECORAZIONE</x:v>
      </x:c>
      <x:c r="H67" s="12" t="n">
        <x:f>IF('Catalogo Ferramenta'!H67="",0,'Catalogo Ferramenta'!H67)</x:f>
        <x:v>32.7</x:v>
      </x:c>
      <x:c r="I67" s="12" t="n">
        <x:f>IF('Catalogo Ferramenta'!I67="",0,'Catalogo Ferramenta'!I67)</x:f>
        <x:v>39.9</x:v>
      </x:c>
      <x:c r="J67" s="14" t="n">
        <x:f>IF('Catalogo Ferramenta'!J67="",22,'Catalogo Ferramenta'!J67)</x:f>
        <x:v>22</x:v>
      </x:c>
      <x:c r="K67" s="14" t="n">
        <x:f>IF('Catalogo Ferramenta'!K67="",0,'Catalogo Ferramenta'!K67)</x:f>
        <x:v>0</x:v>
      </x:c>
      <x:c r="L67" s="14" t="n">
        <x:f>1</x:f>
        <x:v>1</x:v>
      </x:c>
      <x:c r="M67" t="n">
        <x:f>'Catalogo Ferramenta'!L67</x:f>
        <x:v>0</x:v>
      </x:c>
      <x:c r="N67" t="n">
        <x:f>'Catalogo Ferramenta'!M67</x:f>
        <x:v>0</x:v>
      </x:c>
      <x:c r="O67" t="str">
        <x:f>'Catalogo Ferramenta'!N67</x:f>
        <x:v>BLACK+DECKER</x:v>
      </x:c>
      <x:c r="P67" t="str">
        <x:f>'Catalogo Ferramenta'!P67</x:f>
        <x:v>Catalogo Black+Decker Lo Specialista 2026, pagina 61. Prezzi se presenti: raccomandati dal catalogo.</x:v>
      </x:c>
      <x:c r="Q67" s="14" t="n">
        <x:f>'Catalogo Ferramenta'!R67</x:f>
        <x:v>61</x:v>
      </x:c>
      <x:c r="R67" t="str">
        <x:f>'Catalogo Ferramenta'!S67</x:f>
        <x:v>B+D_CATALOGO Lo Specialista 2026.pdf</x:v>
      </x:c>
      <x:c r="S67" s="45" t="b">
        <x:f>AND(D67&lt;&gt;"",B67&lt;&gt;"")</x:f>
        <x:v>1</x:v>
      </x:c>
      <x:c r="T67" t="str">
        <x:f>TEXTJOIN("; ",TRUE,IF(D67="","manca nome",""),IF(B67="","manca barcode",""),IF(H67=0,"prezzo costo da compilare",""),IF(I67=0,"prezzo vendita da compilare",""),IF(K67=0,"quantità da compilare",""))</x:f>
        <x:v>quantità da compilare</x:v>
      </x:c>
    </x:row>
    <x:row r="68">
      <x:c r="A68" t="str">
        <x:f>'Catalogo Ferramenta'!A68</x:f>
        <x:v>BD-0067</x:v>
      </x:c>
      <x:c r="B68" t="str">
        <x:f>'Catalogo Ferramenta'!B68</x:f>
        <x:v>5035048727980</x:v>
      </x:c>
      <x:c r="C68" t="str">
        <x:f>'Catalogo Ferramenta'!C68</x:f>
        <x:v>BCHTS3625L1-QW</x:v>
      </x:c>
      <x:c r="D68" t="str">
        <x:f>'Catalogo Ferramenta'!D68</x:f>
        <x:v>Tagliasiepi a batteria 36V</x:v>
      </x:c>
      <x:c r="E68" t="str">
        <x:f>'Catalogo Ferramenta'!E68</x:f>
        <x:v>BLACK+DECKER</x:v>
      </x:c>
      <x:c r="F68" t="str">
        <x:f>'Catalogo Ferramenta'!F68</x:f>
        <x:v>GAMMA GIARDINO</x:v>
      </x:c>
      <x:c r="G68" t="str">
        <x:f>'Catalogo Ferramenta'!G68</x:f>
        <x:v>TAGLIASIEPI E CESOIE</x:v>
      </x:c>
      <x:c r="H68" s="12" t="n">
        <x:f>IF('Catalogo Ferramenta'!H68="",0,'Catalogo Ferramenta'!H68)</x:f>
        <x:v>180.3</x:v>
      </x:c>
      <x:c r="I68" s="12" t="n">
        <x:f>IF('Catalogo Ferramenta'!I68="",0,'Catalogo Ferramenta'!I68)</x:f>
        <x:v>220</x:v>
      </x:c>
      <x:c r="J68" s="14" t="n">
        <x:f>IF('Catalogo Ferramenta'!J68="",22,'Catalogo Ferramenta'!J68)</x:f>
        <x:v>22</x:v>
      </x:c>
      <x:c r="K68" s="14" t="n">
        <x:f>IF('Catalogo Ferramenta'!K68="",0,'Catalogo Ferramenta'!K68)</x:f>
        <x:v>0</x:v>
      </x:c>
      <x:c r="L68" s="14" t="n">
        <x:f>1</x:f>
        <x:v>1</x:v>
      </x:c>
      <x:c r="M68" t="n">
        <x:f>'Catalogo Ferramenta'!L68</x:f>
        <x:v>0</x:v>
      </x:c>
      <x:c r="N68" t="n">
        <x:f>'Catalogo Ferramenta'!M68</x:f>
        <x:v>0</x:v>
      </x:c>
      <x:c r="O68" t="str">
        <x:f>'Catalogo Ferramenta'!N68</x:f>
        <x:v>BLACK+DECKER</x:v>
      </x:c>
      <x:c r="P68" t="str">
        <x:f>'Catalogo Ferramenta'!P68</x:f>
        <x:v>Catalogo Black+Decker Lo Specialista 2026, pagina 115. Prezzi se presenti: raccomandati dal catalogo.</x:v>
      </x:c>
      <x:c r="Q68" s="14" t="n">
        <x:f>'Catalogo Ferramenta'!R68</x:f>
        <x:v>115</x:v>
      </x:c>
      <x:c r="R68" t="str">
        <x:f>'Catalogo Ferramenta'!S68</x:f>
        <x:v>B+D_CATALOGO Lo Specialista 2026.pdf</x:v>
      </x:c>
      <x:c r="S68" s="45" t="b">
        <x:f>AND(D68&lt;&gt;"",B68&lt;&gt;"")</x:f>
        <x:v>1</x:v>
      </x:c>
      <x:c r="T68" t="str">
        <x:f>TEXTJOIN("; ",TRUE,IF(D68="","manca nome",""),IF(B68="","manca barcode",""),IF(H68=0,"prezzo costo da compilare",""),IF(I68=0,"prezzo vendita da compilare",""),IF(K68=0,"quantità da compilare",""))</x:f>
        <x:v>quantità da compilare</x:v>
      </x:c>
    </x:row>
    <x:row r="69">
      <x:c r="A69" t="str">
        <x:f>'Catalogo Ferramenta'!A69</x:f>
        <x:v>BD-0068</x:v>
      </x:c>
      <x:c r="B69" t="str">
        <x:f>'Catalogo Ferramenta'!B69</x:f>
        <x:v>5035048735190</x:v>
      </x:c>
      <x:c r="C69" t="str">
        <x:f>'Catalogo Ferramenta'!C69</x:f>
        <x:v>BCHV001B-XJ</x:v>
      </x:c>
      <x:c r="D69" t="str">
        <x:f>'Catalogo Ferramenta'!D69</x:f>
        <x:v>Dustbuster 18V (solo corpo macchina)</x:v>
      </x:c>
      <x:c r="E69" t="str">
        <x:f>'Catalogo Ferramenta'!E69</x:f>
        <x:v>BLACK+DECKER</x:v>
      </x:c>
      <x:c r="F69" t="str">
        <x:f>'Catalogo Ferramenta'!F69</x:f>
        <x:v>CURA DELLA CASA</x:v>
      </x:c>
      <x:c r="G69" t="str">
        <x:f>'Catalogo Ferramenta'!G69</x:f>
        <x:v>CURA DELLA CASA</x:v>
      </x:c>
      <x:c r="H69" s="12" t="n">
        <x:f>IF('Catalogo Ferramenta'!H69="",0,'Catalogo Ferramenta'!H69)</x:f>
        <x:v>40.9</x:v>
      </x:c>
      <x:c r="I69" s="12" t="n">
        <x:f>IF('Catalogo Ferramenta'!I69="",0,'Catalogo Ferramenta'!I69)</x:f>
        <x:v>49.9</x:v>
      </x:c>
      <x:c r="J69" s="14" t="n">
        <x:f>IF('Catalogo Ferramenta'!J69="",22,'Catalogo Ferramenta'!J69)</x:f>
        <x:v>22</x:v>
      </x:c>
      <x:c r="K69" s="14" t="n">
        <x:f>IF('Catalogo Ferramenta'!K69="",0,'Catalogo Ferramenta'!K69)</x:f>
        <x:v>0</x:v>
      </x:c>
      <x:c r="L69" s="14" t="n">
        <x:f>1</x:f>
        <x:v>1</x:v>
      </x:c>
      <x:c r="M69" t="n">
        <x:f>'Catalogo Ferramenta'!L69</x:f>
        <x:v>0</x:v>
      </x:c>
      <x:c r="N69" t="n">
        <x:f>'Catalogo Ferramenta'!M69</x:f>
        <x:v>0</x:v>
      </x:c>
      <x:c r="O69" t="str">
        <x:f>'Catalogo Ferramenta'!N69</x:f>
        <x:v>BLACK+DECKER</x:v>
      </x:c>
      <x:c r="P69" t="str">
        <x:f>'Catalogo Ferramenta'!P69</x:f>
        <x:v>Catalogo Black+Decker Lo Specialista 2026, pagina 123. Prezzi se presenti: raccomandati dal catalogo.</x:v>
      </x:c>
      <x:c r="Q69" s="14" t="n">
        <x:f>'Catalogo Ferramenta'!R69</x:f>
        <x:v>123</x:v>
      </x:c>
      <x:c r="R69" t="str">
        <x:f>'Catalogo Ferramenta'!S69</x:f>
        <x:v>B+D_CATALOGO Lo Specialista 2026.pdf</x:v>
      </x:c>
      <x:c r="S69" s="45" t="b">
        <x:f>AND(D69&lt;&gt;"",B69&lt;&gt;"")</x:f>
        <x:v>1</x:v>
      </x:c>
      <x:c r="T69" t="str">
        <x:f>TEXTJOIN("; ",TRUE,IF(D69="","manca nome",""),IF(B69="","manca barcode",""),IF(H69=0,"prezzo costo da compilare",""),IF(I69=0,"prezzo vendita da compilare",""),IF(K69=0,"quantità da compilare",""))</x:f>
        <x:v>quantità da compilare</x:v>
      </x:c>
    </x:row>
    <x:row r="70">
      <x:c r="A70" t="str">
        <x:f>'Catalogo Ferramenta'!A70</x:f>
        <x:v>BD-0069</x:v>
      </x:c>
      <x:c r="B70" t="str">
        <x:f>'Catalogo Ferramenta'!B70</x:f>
        <x:v>5035048735183</x:v>
      </x:c>
      <x:c r="C70" t="str">
        <x:f>'Catalogo Ferramenta'!C70</x:f>
        <x:v>BCHV001C1-QW</x:v>
      </x:c>
      <x:c r="D70" t="str">
        <x:f>'Catalogo Ferramenta'!D70</x:f>
        <x:v>Dustbuster 18V</x:v>
      </x:c>
      <x:c r="E70" t="str">
        <x:f>'Catalogo Ferramenta'!E70</x:f>
        <x:v>BLACK+DECKER</x:v>
      </x:c>
      <x:c r="F70" t="str">
        <x:f>'Catalogo Ferramenta'!F70</x:f>
        <x:v>CURA DELLA CASA</x:v>
      </x:c>
      <x:c r="G70" t="str">
        <x:f>'Catalogo Ferramenta'!G70</x:f>
        <x:v>CURA DELLA CASA</x:v>
      </x:c>
      <x:c r="H70" s="12" t="n">
        <x:f>IF('Catalogo Ferramenta'!H70="",0,'Catalogo Ferramenta'!H70)</x:f>
        <x:v>65.5</x:v>
      </x:c>
      <x:c r="I70" s="12" t="n">
        <x:f>IF('Catalogo Ferramenta'!I70="",0,'Catalogo Ferramenta'!I70)</x:f>
        <x:v>79.9</x:v>
      </x:c>
      <x:c r="J70" s="14" t="n">
        <x:f>IF('Catalogo Ferramenta'!J70="",22,'Catalogo Ferramenta'!J70)</x:f>
        <x:v>22</x:v>
      </x:c>
      <x:c r="K70" s="14" t="n">
        <x:f>IF('Catalogo Ferramenta'!K70="",0,'Catalogo Ferramenta'!K70)</x:f>
        <x:v>0</x:v>
      </x:c>
      <x:c r="L70" s="14" t="n">
        <x:f>1</x:f>
        <x:v>1</x:v>
      </x:c>
      <x:c r="M70" t="n">
        <x:f>'Catalogo Ferramenta'!L70</x:f>
        <x:v>0</x:v>
      </x:c>
      <x:c r="N70" t="n">
        <x:f>'Catalogo Ferramenta'!M70</x:f>
        <x:v>0</x:v>
      </x:c>
      <x:c r="O70" t="str">
        <x:f>'Catalogo Ferramenta'!N70</x:f>
        <x:v>BLACK+DECKER</x:v>
      </x:c>
      <x:c r="P70" t="str">
        <x:f>'Catalogo Ferramenta'!P70</x:f>
        <x:v>Catalogo Black+Decker Lo Specialista 2026, pagina 123. Prezzi se presenti: raccomandati dal catalogo.</x:v>
      </x:c>
      <x:c r="Q70" s="14" t="n">
        <x:f>'Catalogo Ferramenta'!R70</x:f>
        <x:v>123</x:v>
      </x:c>
      <x:c r="R70" t="str">
        <x:f>'Catalogo Ferramenta'!S70</x:f>
        <x:v>B+D_CATALOGO Lo Specialista 2026.pdf</x:v>
      </x:c>
      <x:c r="S70" s="45" t="b">
        <x:f>AND(D70&lt;&gt;"",B70&lt;&gt;"")</x:f>
        <x:v>1</x:v>
      </x:c>
      <x:c r="T70" t="str">
        <x:f>TEXTJOIN("; ",TRUE,IF(D70="","manca nome",""),IF(B70="","manca barcode",""),IF(H70=0,"prezzo costo da compilare",""),IF(I70=0,"prezzo vendita da compilare",""),IF(K70=0,"quantità da compilare",""))</x:f>
        <x:v>quantità da compilare</x:v>
      </x:c>
    </x:row>
    <x:row r="71">
      <x:c r="A71" t="str">
        <x:f>'Catalogo Ferramenta'!A71</x:f>
        <x:v>BD-0070</x:v>
      </x:c>
      <x:c r="B71" t="str">
        <x:f>'Catalogo Ferramenta'!B71</x:f>
        <x:v>5035048723272</x:v>
      </x:c>
      <x:c r="C71" t="str">
        <x:f>'Catalogo Ferramenta'!C71</x:f>
        <x:v>BCMW33184L2-QW</x:v>
      </x:c>
      <x:c r="D71" t="str">
        <x:f>'Catalogo Ferramenta'!D71</x:f>
        <x:v>Rasaerba con doppia batteria 36V(18x2)</x:v>
      </x:c>
      <x:c r="E71" t="str">
        <x:f>'Catalogo Ferramenta'!E71</x:f>
        <x:v>BLACK+DECKER</x:v>
      </x:c>
      <x:c r="F71" t="str">
        <x:f>'Catalogo Ferramenta'!F71</x:f>
        <x:v>GAMMA GIARDINO</x:v>
      </x:c>
      <x:c r="G71" t="str">
        <x:f>'Catalogo Ferramenta'!G71</x:f>
        <x:v>RASAERBA</x:v>
      </x:c>
      <x:c r="H71" s="12" t="n">
        <x:f>IF('Catalogo Ferramenta'!H71="",0,'Catalogo Ferramenta'!H71)</x:f>
        <x:v>255</x:v>
      </x:c>
      <x:c r="I71" s="12" t="n">
        <x:f>IF('Catalogo Ferramenta'!I71="",0,'Catalogo Ferramenta'!I71)</x:f>
        <x:v>311.1</x:v>
      </x:c>
      <x:c r="J71" s="14" t="n">
        <x:f>IF('Catalogo Ferramenta'!J71="",22,'Catalogo Ferramenta'!J71)</x:f>
        <x:v>22</x:v>
      </x:c>
      <x:c r="K71" s="14" t="n">
        <x:f>IF('Catalogo Ferramenta'!K71="",0,'Catalogo Ferramenta'!K71)</x:f>
        <x:v>0</x:v>
      </x:c>
      <x:c r="L71" s="14" t="n">
        <x:f>1</x:f>
        <x:v>1</x:v>
      </x:c>
      <x:c r="M71" t="n">
        <x:f>'Catalogo Ferramenta'!L71</x:f>
        <x:v>0</x:v>
      </x:c>
      <x:c r="N71" t="n">
        <x:f>'Catalogo Ferramenta'!M71</x:f>
        <x:v>0</x:v>
      </x:c>
      <x:c r="O71" t="str">
        <x:f>'Catalogo Ferramenta'!N71</x:f>
        <x:v>BLACK+DECKER</x:v>
      </x:c>
      <x:c r="P71" t="str">
        <x:f>'Catalogo Ferramenta'!P71</x:f>
        <x:v>Catalogo Black+Decker Lo Specialista 2026, pagina 84. Prezzi se presenti: raccomandati dal catalogo.</x:v>
      </x:c>
      <x:c r="Q71" s="14" t="n">
        <x:f>'Catalogo Ferramenta'!R71</x:f>
        <x:v>84</x:v>
      </x:c>
      <x:c r="R71" t="str">
        <x:f>'Catalogo Ferramenta'!S71</x:f>
        <x:v>B+D_CATALOGO Lo Specialista 2026.pdf</x:v>
      </x:c>
      <x:c r="S71" s="45" t="b">
        <x:f>AND(D71&lt;&gt;"",B71&lt;&gt;"")</x:f>
        <x:v>1</x:v>
      </x:c>
      <x:c r="T71" t="str">
        <x:f>TEXTJOIN("; ",TRUE,IF(D71="","manca nome",""),IF(B71="","manca barcode",""),IF(H71=0,"prezzo costo da compilare",""),IF(I71=0,"prezzo vendita da compilare",""),IF(K71=0,"quantità da compilare",""))</x:f>
        <x:v>quantità da compilare</x:v>
      </x:c>
    </x:row>
    <x:row r="72">
      <x:c r="A72" t="str">
        <x:f>'Catalogo Ferramenta'!A72</x:f>
        <x:v>BD-0071</x:v>
      </x:c>
      <x:c r="B72" t="str">
        <x:f>'Catalogo Ferramenta'!B72</x:f>
        <x:v>5035048723241</x:v>
      </x:c>
      <x:c r="C72" t="str">
        <x:f>'Catalogo Ferramenta'!C72</x:f>
        <x:v>BCMW3318L2-QW</x:v>
      </x:c>
      <x:c r="D72" t="str">
        <x:f>'Catalogo Ferramenta'!D72</x:f>
        <x:v>Rasaerba con doppia batteria 36V(18x2)</x:v>
      </x:c>
      <x:c r="E72" t="str">
        <x:f>'Catalogo Ferramenta'!E72</x:f>
        <x:v>BLACK+DECKER</x:v>
      </x:c>
      <x:c r="F72" t="str">
        <x:f>'Catalogo Ferramenta'!F72</x:f>
        <x:v>GAMMA GIARDINO</x:v>
      </x:c>
      <x:c r="G72" t="str">
        <x:f>'Catalogo Ferramenta'!G72</x:f>
        <x:v>RASAERBA</x:v>
      </x:c>
      <x:c r="H72" s="12" t="n">
        <x:f>IF('Catalogo Ferramenta'!H72="",0,'Catalogo Ferramenta'!H72)</x:f>
        <x:v>222.5</x:v>
      </x:c>
      <x:c r="I72" s="12" t="n">
        <x:f>IF('Catalogo Ferramenta'!I72="",0,'Catalogo Ferramenta'!I72)</x:f>
        <x:v>271.5</x:v>
      </x:c>
      <x:c r="J72" s="14" t="n">
        <x:f>IF('Catalogo Ferramenta'!J72="",22,'Catalogo Ferramenta'!J72)</x:f>
        <x:v>22</x:v>
      </x:c>
      <x:c r="K72" s="14" t="n">
        <x:f>IF('Catalogo Ferramenta'!K72="",0,'Catalogo Ferramenta'!K72)</x:f>
        <x:v>0</x:v>
      </x:c>
      <x:c r="L72" s="14" t="n">
        <x:f>1</x:f>
        <x:v>1</x:v>
      </x:c>
      <x:c r="M72" t="n">
        <x:f>'Catalogo Ferramenta'!L72</x:f>
        <x:v>0</x:v>
      </x:c>
      <x:c r="N72" t="n">
        <x:f>'Catalogo Ferramenta'!M72</x:f>
        <x:v>0</x:v>
      </x:c>
      <x:c r="O72" t="str">
        <x:f>'Catalogo Ferramenta'!N72</x:f>
        <x:v>BLACK+DECKER</x:v>
      </x:c>
      <x:c r="P72" t="str">
        <x:f>'Catalogo Ferramenta'!P72</x:f>
        <x:v>Catalogo Black+Decker Lo Specialista 2026, pagina 84. Prezzi se presenti: raccomandati dal catalogo.</x:v>
      </x:c>
      <x:c r="Q72" s="14" t="n">
        <x:f>'Catalogo Ferramenta'!R72</x:f>
        <x:v>84</x:v>
      </x:c>
      <x:c r="R72" t="str">
        <x:f>'Catalogo Ferramenta'!S72</x:f>
        <x:v>B+D_CATALOGO Lo Specialista 2026.pdf</x:v>
      </x:c>
      <x:c r="S72" s="45" t="b">
        <x:f>AND(D72&lt;&gt;"",B72&lt;&gt;"")</x:f>
        <x:v>1</x:v>
      </x:c>
      <x:c r="T72" t="str">
        <x:f>TEXTJOIN("; ",TRUE,IF(D72="","manca nome",""),IF(B72="","manca barcode",""),IF(H72=0,"prezzo costo da compilare",""),IF(I72=0,"prezzo vendita da compilare",""),IF(K72=0,"quantità da compilare",""))</x:f>
        <x:v>quantità da compilare</x:v>
      </x:c>
    </x:row>
    <x:row r="73">
      <x:c r="A73" t="str">
        <x:f>'Catalogo Ferramenta'!A73</x:f>
        <x:v>BD-0072</x:v>
      </x:c>
      <x:c r="B73" t="str">
        <x:f>'Catalogo Ferramenta'!B73</x:f>
        <x:v>5035048723234</x:v>
      </x:c>
      <x:c r="C73" t="str">
        <x:f>'Catalogo Ferramenta'!C73</x:f>
        <x:v>BCMW3318N-XJ</x:v>
      </x:c>
      <x:c r="D73" t="str">
        <x:f>'Catalogo Ferramenta'!D73</x:f>
        <x:v>Rasaerba a batteria 36V (solo corpo macchina)</x:v>
      </x:c>
      <x:c r="E73" t="str">
        <x:f>'Catalogo Ferramenta'!E73</x:f>
        <x:v>BLACK+DECKER</x:v>
      </x:c>
      <x:c r="F73" t="str">
        <x:f>'Catalogo Ferramenta'!F73</x:f>
        <x:v>GAMMA GIARDINO</x:v>
      </x:c>
      <x:c r="G73" t="str">
        <x:f>'Catalogo Ferramenta'!G73</x:f>
        <x:v>RASAERBA</x:v>
      </x:c>
      <x:c r="H73" s="12" t="n">
        <x:f>IF('Catalogo Ferramenta'!H73="",0,'Catalogo Ferramenta'!H73)</x:f>
        <x:v>172.5</x:v>
      </x:c>
      <x:c r="I73" s="12" t="n">
        <x:f>IF('Catalogo Ferramenta'!I73="",0,'Catalogo Ferramenta'!I73)</x:f>
        <x:v>210.5</x:v>
      </x:c>
      <x:c r="J73" s="14" t="n">
        <x:f>IF('Catalogo Ferramenta'!J73="",22,'Catalogo Ferramenta'!J73)</x:f>
        <x:v>22</x:v>
      </x:c>
      <x:c r="K73" s="14" t="n">
        <x:f>IF('Catalogo Ferramenta'!K73="",0,'Catalogo Ferramenta'!K73)</x:f>
        <x:v>0</x:v>
      </x:c>
      <x:c r="L73" s="14" t="n">
        <x:f>1</x:f>
        <x:v>1</x:v>
      </x:c>
      <x:c r="M73" t="n">
        <x:f>'Catalogo Ferramenta'!L73</x:f>
        <x:v>0</x:v>
      </x:c>
      <x:c r="N73" t="n">
        <x:f>'Catalogo Ferramenta'!M73</x:f>
        <x:v>0</x:v>
      </x:c>
      <x:c r="O73" t="str">
        <x:f>'Catalogo Ferramenta'!N73</x:f>
        <x:v>BLACK+DECKER</x:v>
      </x:c>
      <x:c r="P73" t="str">
        <x:f>'Catalogo Ferramenta'!P73</x:f>
        <x:v>Catalogo Black+Decker Lo Specialista 2026, pagina 84. Prezzi se presenti: raccomandati dal catalogo.</x:v>
      </x:c>
      <x:c r="Q73" s="14" t="n">
        <x:f>'Catalogo Ferramenta'!R73</x:f>
        <x:v>84</x:v>
      </x:c>
      <x:c r="R73" t="str">
        <x:f>'Catalogo Ferramenta'!S73</x:f>
        <x:v>B+D_CATALOGO Lo Specialista 2026.pdf</x:v>
      </x:c>
      <x:c r="S73" s="45" t="b">
        <x:f>AND(D73&lt;&gt;"",B73&lt;&gt;"")</x:f>
        <x:v>1</x:v>
      </x:c>
      <x:c r="T73" t="str">
        <x:f>TEXTJOIN("; ",TRUE,IF(D73="","manca nome",""),IF(B73="","manca barcode",""),IF(H73=0,"prezzo costo da compilare",""),IF(I73=0,"prezzo vendita da compilare",""),IF(K73=0,"quantità da compilare",""))</x:f>
        <x:v>quantità da compilare</x:v>
      </x:c>
    </x:row>
    <x:row r="74">
      <x:c r="A74" t="str">
        <x:f>'Catalogo Ferramenta'!A74</x:f>
        <x:v>BD-0073</x:v>
      </x:c>
      <x:c r="B74" t="str">
        <x:f>'Catalogo Ferramenta'!B74</x:f>
        <x:v>5035048723319</x:v>
      </x:c>
      <x:c r="C74" t="str">
        <x:f>'Catalogo Ferramenta'!C74</x:f>
        <x:v>BCMW3336L1-QW</x:v>
      </x:c>
      <x:c r="D74" t="str">
        <x:f>'Catalogo Ferramenta'!D74</x:f>
        <x:v>Rasaerba a batteria 36V</x:v>
      </x:c>
      <x:c r="E74" t="str">
        <x:f>'Catalogo Ferramenta'!E74</x:f>
        <x:v>BLACK+DECKER</x:v>
      </x:c>
      <x:c r="F74" t="str">
        <x:f>'Catalogo Ferramenta'!F74</x:f>
        <x:v>GAMMA GIARDINO</x:v>
      </x:c>
      <x:c r="G74" t="str">
        <x:f>'Catalogo Ferramenta'!G74</x:f>
        <x:v>RASAERBA</x:v>
      </x:c>
      <x:c r="H74" s="12" t="n">
        <x:f>IF('Catalogo Ferramenta'!H74="",0,'Catalogo Ferramenta'!H74)</x:f>
        <x:v>233.9</x:v>
      </x:c>
      <x:c r="I74" s="12" t="n">
        <x:f>IF('Catalogo Ferramenta'!I74="",0,'Catalogo Ferramenta'!I74)</x:f>
        <x:v>285.4</x:v>
      </x:c>
      <x:c r="J74" s="14" t="n">
        <x:f>IF('Catalogo Ferramenta'!J74="",22,'Catalogo Ferramenta'!J74)</x:f>
        <x:v>22</x:v>
      </x:c>
      <x:c r="K74" s="14" t="n">
        <x:f>IF('Catalogo Ferramenta'!K74="",0,'Catalogo Ferramenta'!K74)</x:f>
        <x:v>0</x:v>
      </x:c>
      <x:c r="L74" s="14" t="n">
        <x:f>1</x:f>
        <x:v>1</x:v>
      </x:c>
      <x:c r="M74" t="n">
        <x:f>'Catalogo Ferramenta'!L74</x:f>
        <x:v>0</x:v>
      </x:c>
      <x:c r="N74" t="n">
        <x:f>'Catalogo Ferramenta'!M74</x:f>
        <x:v>0</x:v>
      </x:c>
      <x:c r="O74" t="str">
        <x:f>'Catalogo Ferramenta'!N74</x:f>
        <x:v>BLACK+DECKER</x:v>
      </x:c>
      <x:c r="P74" t="str">
        <x:f>'Catalogo Ferramenta'!P74</x:f>
        <x:v>Catalogo Black+Decker Lo Specialista 2026, pagina 84. Prezzi se presenti: raccomandati dal catalogo.</x:v>
      </x:c>
      <x:c r="Q74" s="14" t="n">
        <x:f>'Catalogo Ferramenta'!R74</x:f>
        <x:v>84</x:v>
      </x:c>
      <x:c r="R74" t="str">
        <x:f>'Catalogo Ferramenta'!S74</x:f>
        <x:v>B+D_CATALOGO Lo Specialista 2026.pdf</x:v>
      </x:c>
      <x:c r="S74" s="45" t="b">
        <x:f>AND(D74&lt;&gt;"",B74&lt;&gt;"")</x:f>
        <x:v>1</x:v>
      </x:c>
      <x:c r="T74" t="str">
        <x:f>TEXTJOIN("; ",TRUE,IF(D74="","manca nome",""),IF(B74="","manca barcode",""),IF(H74=0,"prezzo costo da compilare",""),IF(I74=0,"prezzo vendita da compilare",""),IF(K74=0,"quantità da compilare",""))</x:f>
        <x:v>quantità da compilare</x:v>
      </x:c>
    </x:row>
    <x:row r="75">
      <x:c r="A75" t="str">
        <x:f>'Catalogo Ferramenta'!A75</x:f>
        <x:v>BD-0074</x:v>
      </x:c>
      <x:c r="B75" t="str">
        <x:f>'Catalogo Ferramenta'!B75</x:f>
        <x:v>5035048723357</x:v>
      </x:c>
      <x:c r="C75" t="str">
        <x:f>'Catalogo Ferramenta'!C75</x:f>
        <x:v>BCMW3336L2-QW</x:v>
      </x:c>
      <x:c r="D75" t="str">
        <x:f>'Catalogo Ferramenta'!D75</x:f>
        <x:v>Rasaerba con doppia batteria 36V</x:v>
      </x:c>
      <x:c r="E75" t="str">
        <x:f>'Catalogo Ferramenta'!E75</x:f>
        <x:v>BLACK+DECKER</x:v>
      </x:c>
      <x:c r="F75" t="str">
        <x:f>'Catalogo Ferramenta'!F75</x:f>
        <x:v>GAMMA GIARDINO</x:v>
      </x:c>
      <x:c r="G75" t="str">
        <x:f>'Catalogo Ferramenta'!G75</x:f>
        <x:v>RASAERBA</x:v>
      </x:c>
      <x:c r="H75" s="12" t="n">
        <x:f>IF('Catalogo Ferramenta'!H75="",0,'Catalogo Ferramenta'!H75)</x:f>
        <x:v>308.4</x:v>
      </x:c>
      <x:c r="I75" s="12" t="n">
        <x:f>IF('Catalogo Ferramenta'!I75="",0,'Catalogo Ferramenta'!I75)</x:f>
        <x:v>376.2</x:v>
      </x:c>
      <x:c r="J75" s="14" t="n">
        <x:f>IF('Catalogo Ferramenta'!J75="",22,'Catalogo Ferramenta'!J75)</x:f>
        <x:v>22</x:v>
      </x:c>
      <x:c r="K75" s="14" t="n">
        <x:f>IF('Catalogo Ferramenta'!K75="",0,'Catalogo Ferramenta'!K75)</x:f>
        <x:v>0</x:v>
      </x:c>
      <x:c r="L75" s="14" t="n">
        <x:f>1</x:f>
        <x:v>1</x:v>
      </x:c>
      <x:c r="M75" t="n">
        <x:f>'Catalogo Ferramenta'!L75</x:f>
        <x:v>0</x:v>
      </x:c>
      <x:c r="N75" t="n">
        <x:f>'Catalogo Ferramenta'!M75</x:f>
        <x:v>0</x:v>
      </x:c>
      <x:c r="O75" t="str">
        <x:f>'Catalogo Ferramenta'!N75</x:f>
        <x:v>BLACK+DECKER</x:v>
      </x:c>
      <x:c r="P75" t="str">
        <x:f>'Catalogo Ferramenta'!P75</x:f>
        <x:v>Catalogo Black+Decker Lo Specialista 2026, pagina 84. Prezzi se presenti: raccomandati dal catalogo.</x:v>
      </x:c>
      <x:c r="Q75" s="14" t="n">
        <x:f>'Catalogo Ferramenta'!R75</x:f>
        <x:v>84</x:v>
      </x:c>
      <x:c r="R75" t="str">
        <x:f>'Catalogo Ferramenta'!S75</x:f>
        <x:v>B+D_CATALOGO Lo Specialista 2026.pdf</x:v>
      </x:c>
      <x:c r="S75" s="45" t="b">
        <x:f>AND(D75&lt;&gt;"",B75&lt;&gt;"")</x:f>
        <x:v>1</x:v>
      </x:c>
      <x:c r="T75" t="str">
        <x:f>TEXTJOIN("; ",TRUE,IF(D75="","manca nome",""),IF(B75="","manca barcode",""),IF(H75=0,"prezzo costo da compilare",""),IF(I75=0,"prezzo vendita da compilare",""),IF(K75=0,"quantità da compilare",""))</x:f>
        <x:v>quantità da compilare</x:v>
      </x:c>
    </x:row>
    <x:row r="76">
      <x:c r="A76" t="str">
        <x:f>'Catalogo Ferramenta'!A76</x:f>
        <x:v>BD-0075</x:v>
      </x:c>
      <x:c r="B76" t="str">
        <x:f>'Catalogo Ferramenta'!B76</x:f>
        <x:v>5035048723302</x:v>
      </x:c>
      <x:c r="C76" t="str">
        <x:f>'Catalogo Ferramenta'!C76</x:f>
        <x:v>BCMW3336N-XJ</x:v>
      </x:c>
      <x:c r="D76" t="str">
        <x:f>'Catalogo Ferramenta'!D76</x:f>
        <x:v>Rasaerba a batteria 36V (solo corpo macchina)</x:v>
      </x:c>
      <x:c r="E76" t="str">
        <x:f>'Catalogo Ferramenta'!E76</x:f>
        <x:v>BLACK+DECKER</x:v>
      </x:c>
      <x:c r="F76" t="str">
        <x:f>'Catalogo Ferramenta'!F76</x:f>
        <x:v>GAMMA GIARDINO</x:v>
      </x:c>
      <x:c r="G76" t="str">
        <x:f>'Catalogo Ferramenta'!G76</x:f>
        <x:v>RASAERBA</x:v>
      </x:c>
      <x:c r="H76" s="12" t="n">
        <x:f>IF('Catalogo Ferramenta'!H76="",0,'Catalogo Ferramenta'!H76)</x:f>
        <x:v>163.9</x:v>
      </x:c>
      <x:c r="I76" s="12" t="n">
        <x:f>IF('Catalogo Ferramenta'!I76="",0,'Catalogo Ferramenta'!I76)</x:f>
        <x:v>200</x:v>
      </x:c>
      <x:c r="J76" s="14" t="n">
        <x:f>IF('Catalogo Ferramenta'!J76="",22,'Catalogo Ferramenta'!J76)</x:f>
        <x:v>22</x:v>
      </x:c>
      <x:c r="K76" s="14" t="n">
        <x:f>IF('Catalogo Ferramenta'!K76="",0,'Catalogo Ferramenta'!K76)</x:f>
        <x:v>0</x:v>
      </x:c>
      <x:c r="L76" s="14" t="n">
        <x:f>1</x:f>
        <x:v>1</x:v>
      </x:c>
      <x:c r="M76" t="n">
        <x:f>'Catalogo Ferramenta'!L76</x:f>
        <x:v>0</x:v>
      </x:c>
      <x:c r="N76" t="n">
        <x:f>'Catalogo Ferramenta'!M76</x:f>
        <x:v>0</x:v>
      </x:c>
      <x:c r="O76" t="str">
        <x:f>'Catalogo Ferramenta'!N76</x:f>
        <x:v>BLACK+DECKER</x:v>
      </x:c>
      <x:c r="P76" t="str">
        <x:f>'Catalogo Ferramenta'!P76</x:f>
        <x:v>Catalogo Black+Decker Lo Specialista 2026, pagina 84. Prezzi se presenti: raccomandati dal catalogo.</x:v>
      </x:c>
      <x:c r="Q76" s="14" t="n">
        <x:f>'Catalogo Ferramenta'!R76</x:f>
        <x:v>84</x:v>
      </x:c>
      <x:c r="R76" t="str">
        <x:f>'Catalogo Ferramenta'!S76</x:f>
        <x:v>B+D_CATALOGO Lo Specialista 2026.pdf</x:v>
      </x:c>
      <x:c r="S76" s="45" t="b">
        <x:f>AND(D76&lt;&gt;"",B76&lt;&gt;"")</x:f>
        <x:v>1</x:v>
      </x:c>
      <x:c r="T76" t="str">
        <x:f>TEXTJOIN("; ",TRUE,IF(D76="","manca nome",""),IF(B76="","manca barcode",""),IF(H76=0,"prezzo costo da compilare",""),IF(I76=0,"prezzo vendita da compilare",""),IF(K76=0,"quantità da compilare",""))</x:f>
        <x:v>quantità da compilare</x:v>
      </x:c>
    </x:row>
    <x:row r="77">
      <x:c r="A77" t="str">
        <x:f>'Catalogo Ferramenta'!A77</x:f>
        <x:v>BD-0076</x:v>
      </x:c>
      <x:c r="B77" t="str">
        <x:f>'Catalogo Ferramenta'!B77</x:f>
        <x:v>5035048788639</x:v>
      </x:c>
      <x:c r="C77" t="str">
        <x:f>'Catalogo Ferramenta'!C77</x:f>
        <x:v>BCN115-XJ</x:v>
      </x:c>
      <x:c r="D77" t="str">
        <x:f>'Catalogo Ferramenta'!D77</x:f>
        <x:v>Graffatrice</x:v>
      </x:c>
      <x:c r="E77" t="str">
        <x:f>'Catalogo Ferramenta'!E77</x:f>
        <x:v>BLACK+DECKER</x:v>
      </x:c>
      <x:c r="F77" t="str">
        <x:f>'Catalogo Ferramenta'!F77</x:f>
        <x:v>ELETTROUTENSILI</x:v>
      </x:c>
      <x:c r="G77" t="str">
        <x:f>'Catalogo Ferramenta'!G77</x:f>
        <x:v>UTENSILI PER DECORAZIONE</x:v>
      </x:c>
      <x:c r="H77" s="12" t="n">
        <x:f>IF('Catalogo Ferramenta'!H77="",0,'Catalogo Ferramenta'!H77)</x:f>
        <x:v>49.1</x:v>
      </x:c>
      <x:c r="I77" s="12" t="n">
        <x:f>IF('Catalogo Ferramenta'!I77="",0,'Catalogo Ferramenta'!I77)</x:f>
        <x:v>59.9</x:v>
      </x:c>
      <x:c r="J77" s="14" t="n">
        <x:f>IF('Catalogo Ferramenta'!J77="",22,'Catalogo Ferramenta'!J77)</x:f>
        <x:v>22</x:v>
      </x:c>
      <x:c r="K77" s="14" t="n">
        <x:f>IF('Catalogo Ferramenta'!K77="",0,'Catalogo Ferramenta'!K77)</x:f>
        <x:v>0</x:v>
      </x:c>
      <x:c r="L77" s="14" t="n">
        <x:f>1</x:f>
        <x:v>1</x:v>
      </x:c>
      <x:c r="M77" t="n">
        <x:f>'Catalogo Ferramenta'!L77</x:f>
        <x:v>0</x:v>
      </x:c>
      <x:c r="N77" t="n">
        <x:f>'Catalogo Ferramenta'!M77</x:f>
        <x:v>0</x:v>
      </x:c>
      <x:c r="O77" t="str">
        <x:f>'Catalogo Ferramenta'!N77</x:f>
        <x:v>BLACK+DECKER</x:v>
      </x:c>
      <x:c r="P77" t="str">
        <x:f>'Catalogo Ferramenta'!P77</x:f>
        <x:v>Catalogo Black+Decker Lo Specialista 2026, pagina 60. Prezzi se presenti: raccomandati dal catalogo.</x:v>
      </x:c>
      <x:c r="Q77" s="14" t="n">
        <x:f>'Catalogo Ferramenta'!R77</x:f>
        <x:v>60</x:v>
      </x:c>
      <x:c r="R77" t="str">
        <x:f>'Catalogo Ferramenta'!S77</x:f>
        <x:v>B+D_CATALOGO Lo Specialista 2026.pdf</x:v>
      </x:c>
      <x:c r="S77" s="45" t="b">
        <x:f>AND(D77&lt;&gt;"",B77&lt;&gt;"")</x:f>
        <x:v>1</x:v>
      </x:c>
      <x:c r="T77" t="str">
        <x:f>TEXTJOIN("; ",TRUE,IF(D77="","manca nome",""),IF(B77="","manca barcode",""),IF(H77=0,"prezzo costo da compilare",""),IF(I77=0,"prezzo vendita da compilare",""),IF(K77=0,"quantità da compilare",""))</x:f>
        <x:v>quantità da compilare</x:v>
      </x:c>
    </x:row>
    <x:row r="78">
      <x:c r="A78" t="str">
        <x:f>'Catalogo Ferramenta'!A78</x:f>
        <x:v>BD-0077</x:v>
      </x:c>
      <x:c r="B78" t="str">
        <x:f>'Catalogo Ferramenta'!B78</x:f>
        <x:v>5035048737200</x:v>
      </x:c>
      <x:c r="C78" t="str">
        <x:f>'Catalogo Ferramenta'!C78</x:f>
        <x:v>BCPC18B-XJ</x:v>
      </x:c>
      <x:c r="D78" t="str">
        <x:f>'Catalogo Ferramenta'!D78</x:f>
        <x:v>Idropistola a batteria (solo corpo macchina)</x:v>
      </x:c>
      <x:c r="E78" t="str">
        <x:f>'Catalogo Ferramenta'!E78</x:f>
        <x:v>BLACK+DECKER</x:v>
      </x:c>
      <x:c r="F78" t="str">
        <x:f>'Catalogo Ferramenta'!F78</x:f>
        <x:v>GAMMA GIARDINO</x:v>
      </x:c>
      <x:c r="G78" t="str">
        <x:f>'Catalogo Ferramenta'!G78</x:f>
        <x:v>ALTRI UTENSILI DA GIARDINO</x:v>
      </x:c>
      <x:c r="H78" s="12" t="n">
        <x:f>IF('Catalogo Ferramenta'!H78="",0,'Catalogo Ferramenta'!H78)</x:f>
        <x:v>90.1</x:v>
      </x:c>
      <x:c r="I78" s="12" t="n">
        <x:f>IF('Catalogo Ferramenta'!I78="",0,'Catalogo Ferramenta'!I78)</x:f>
        <x:v>109.9</x:v>
      </x:c>
      <x:c r="J78" s="14" t="n">
        <x:f>IF('Catalogo Ferramenta'!J78="",22,'Catalogo Ferramenta'!J78)</x:f>
        <x:v>22</x:v>
      </x:c>
      <x:c r="K78" s="14" t="n">
        <x:f>IF('Catalogo Ferramenta'!K78="",0,'Catalogo Ferramenta'!K78)</x:f>
        <x:v>0</x:v>
      </x:c>
      <x:c r="L78" s="14" t="n">
        <x:f>1</x:f>
        <x:v>1</x:v>
      </x:c>
      <x:c r="M78" t="n">
        <x:f>'Catalogo Ferramenta'!L78</x:f>
        <x:v>0</x:v>
      </x:c>
      <x:c r="N78" t="n">
        <x:f>'Catalogo Ferramenta'!M78</x:f>
        <x:v>0</x:v>
      </x:c>
      <x:c r="O78" t="str">
        <x:f>'Catalogo Ferramenta'!N78</x:f>
        <x:v>BLACK+DECKER</x:v>
      </x:c>
      <x:c r="P78" t="str">
        <x:f>'Catalogo Ferramenta'!P78</x:f>
        <x:v>Catalogo Black+Decker Lo Specialista 2026, pagina 119. Prezzi se presenti: raccomandati dal catalogo.</x:v>
      </x:c>
      <x:c r="Q78" s="14" t="n">
        <x:f>'Catalogo Ferramenta'!R78</x:f>
        <x:v>119</x:v>
      </x:c>
      <x:c r="R78" t="str">
        <x:f>'Catalogo Ferramenta'!S78</x:f>
        <x:v>B+D_CATALOGO Lo Specialista 2026.pdf</x:v>
      </x:c>
      <x:c r="S78" s="45" t="b">
        <x:f>AND(D78&lt;&gt;"",B78&lt;&gt;"")</x:f>
        <x:v>1</x:v>
      </x:c>
      <x:c r="T78" t="str">
        <x:f>TEXTJOIN("; ",TRUE,IF(D78="","manca nome",""),IF(B78="","manca barcode",""),IF(H78=0,"prezzo costo da compilare",""),IF(I78=0,"prezzo vendita da compilare",""),IF(K78=0,"quantità da compilare",""))</x:f>
        <x:v>quantità da compilare</x:v>
      </x:c>
    </x:row>
    <x:row r="79">
      <x:c r="A79" t="str">
        <x:f>'Catalogo Ferramenta'!A79</x:f>
        <x:v>BD-0078</x:v>
      </x:c>
      <x:c r="B79" t="str">
        <x:f>'Catalogo Ferramenta'!B79</x:f>
        <x:v>5035048737460</x:v>
      </x:c>
      <x:c r="C79" t="str">
        <x:f>'Catalogo Ferramenta'!C79</x:f>
        <x:v>BCPC18D1-QW</x:v>
      </x:c>
      <x:c r="D79" t="str">
        <x:f>'Catalogo Ferramenta'!D79</x:f>
        <x:v>Idropistola a batteria</x:v>
      </x:c>
      <x:c r="E79" t="str">
        <x:f>'Catalogo Ferramenta'!E79</x:f>
        <x:v>BLACK+DECKER</x:v>
      </x:c>
      <x:c r="F79" t="str">
        <x:f>'Catalogo Ferramenta'!F79</x:f>
        <x:v>GAMMA GIARDINO</x:v>
      </x:c>
      <x:c r="G79" t="str">
        <x:f>'Catalogo Ferramenta'!G79</x:f>
        <x:v>ALTRI UTENSILI DA GIARDINO</x:v>
      </x:c>
      <x:c r="H79" s="12" t="n">
        <x:f>IF('Catalogo Ferramenta'!H79="",0,'Catalogo Ferramenta'!H79)</x:f>
        <x:v>122.9</x:v>
      </x:c>
      <x:c r="I79" s="12" t="n">
        <x:f>IF('Catalogo Ferramenta'!I79="",0,'Catalogo Ferramenta'!I79)</x:f>
        <x:v>149.9</x:v>
      </x:c>
      <x:c r="J79" s="14" t="n">
        <x:f>IF('Catalogo Ferramenta'!J79="",22,'Catalogo Ferramenta'!J79)</x:f>
        <x:v>22</x:v>
      </x:c>
      <x:c r="K79" s="14" t="n">
        <x:f>IF('Catalogo Ferramenta'!K79="",0,'Catalogo Ferramenta'!K79)</x:f>
        <x:v>0</x:v>
      </x:c>
      <x:c r="L79" s="14" t="n">
        <x:f>1</x:f>
        <x:v>1</x:v>
      </x:c>
      <x:c r="M79" t="n">
        <x:f>'Catalogo Ferramenta'!L79</x:f>
        <x:v>0</x:v>
      </x:c>
      <x:c r="N79" t="n">
        <x:f>'Catalogo Ferramenta'!M79</x:f>
        <x:v>0</x:v>
      </x:c>
      <x:c r="O79" t="str">
        <x:f>'Catalogo Ferramenta'!N79</x:f>
        <x:v>BLACK+DECKER</x:v>
      </x:c>
      <x:c r="P79" t="str">
        <x:f>'Catalogo Ferramenta'!P79</x:f>
        <x:v>Catalogo Black+Decker Lo Specialista 2026, pagina 119. Prezzi se presenti: raccomandati dal catalogo.</x:v>
      </x:c>
      <x:c r="Q79" s="14" t="n">
        <x:f>'Catalogo Ferramenta'!R79</x:f>
        <x:v>119</x:v>
      </x:c>
      <x:c r="R79" t="str">
        <x:f>'Catalogo Ferramenta'!S79</x:f>
        <x:v>B+D_CATALOGO Lo Specialista 2026.pdf</x:v>
      </x:c>
      <x:c r="S79" s="45" t="b">
        <x:f>AND(D79&lt;&gt;"",B79&lt;&gt;"")</x:f>
        <x:v>1</x:v>
      </x:c>
      <x:c r="T79" t="str">
        <x:f>TEXTJOIN("; ",TRUE,IF(D79="","manca nome",""),IF(B79="","manca barcode",""),IF(H79=0,"prezzo costo da compilare",""),IF(I79=0,"prezzo vendita da compilare",""),IF(K79=0,"quantità da compilare",""))</x:f>
        <x:v>quantità da compilare</x:v>
      </x:c>
    </x:row>
    <x:row r="80">
      <x:c r="A80" t="str">
        <x:f>'Catalogo Ferramenta'!A80</x:f>
        <x:v>BD-0079</x:v>
      </x:c>
      <x:c r="B80" t="str">
        <x:f>'Catalogo Ferramenta'!B80</x:f>
        <x:v>5035048788448</x:v>
      </x:c>
      <x:c r="C80" t="str">
        <x:f>'Catalogo Ferramenta'!C80</x:f>
        <x:v>BCPP18B-XJ</x:v>
      </x:c>
      <x:c r="D80" t="str">
        <x:f>'Catalogo Ferramenta'!D80</x:f>
        <x:v>Potatore a batteria 18V (solo corpo macchina)</x:v>
      </x:c>
      <x:c r="E80" t="str">
        <x:f>'Catalogo Ferramenta'!E80</x:f>
        <x:v>BLACK+DECKER</x:v>
      </x:c>
      <x:c r="F80" t="str">
        <x:f>'Catalogo Ferramenta'!F80</x:f>
        <x:v>GAMMA GIARDINO</x:v>
      </x:c>
      <x:c r="G80" t="str">
        <x:f>'Catalogo Ferramenta'!G80</x:f>
        <x:v>ELETTROSEGHE E POTATORI</x:v>
      </x:c>
      <x:c r="H80" s="12" t="n">
        <x:f>IF('Catalogo Ferramenta'!H80="",0,'Catalogo Ferramenta'!H80)</x:f>
        <x:v>106.5</x:v>
      </x:c>
      <x:c r="I80" s="12" t="n">
        <x:f>IF('Catalogo Ferramenta'!I80="",0,'Catalogo Ferramenta'!I80)</x:f>
        <x:v>129.9</x:v>
      </x:c>
      <x:c r="J80" s="14" t="n">
        <x:f>IF('Catalogo Ferramenta'!J80="",22,'Catalogo Ferramenta'!J80)</x:f>
        <x:v>22</x:v>
      </x:c>
      <x:c r="K80" s="14" t="n">
        <x:f>IF('Catalogo Ferramenta'!K80="",0,'Catalogo Ferramenta'!K80)</x:f>
        <x:v>0</x:v>
      </x:c>
      <x:c r="L80" s="14" t="n">
        <x:f>1</x:f>
        <x:v>1</x:v>
      </x:c>
      <x:c r="M80" t="n">
        <x:f>'Catalogo Ferramenta'!L80</x:f>
        <x:v>0</x:v>
      </x:c>
      <x:c r="N80" t="n">
        <x:f>'Catalogo Ferramenta'!M80</x:f>
        <x:v>0</x:v>
      </x:c>
      <x:c r="O80" t="str">
        <x:f>'Catalogo Ferramenta'!N80</x:f>
        <x:v>BLACK+DECKER</x:v>
      </x:c>
      <x:c r="P80" t="str">
        <x:f>'Catalogo Ferramenta'!P80</x:f>
        <x:v>Catalogo Black+Decker Lo Specialista 2026, pagina 108. Prezzi se presenti: raccomandati dal catalogo.</x:v>
      </x:c>
      <x:c r="Q80" s="14" t="n">
        <x:f>'Catalogo Ferramenta'!R80</x:f>
        <x:v>108</x:v>
      </x:c>
      <x:c r="R80" t="str">
        <x:f>'Catalogo Ferramenta'!S80</x:f>
        <x:v>B+D_CATALOGO Lo Specialista 2026.pdf</x:v>
      </x:c>
      <x:c r="S80" s="45" t="b">
        <x:f>AND(D80&lt;&gt;"",B80&lt;&gt;"")</x:f>
        <x:v>1</x:v>
      </x:c>
      <x:c r="T80" t="str">
        <x:f>TEXTJOIN("; ",TRUE,IF(D80="","manca nome",""),IF(B80="","manca barcode",""),IF(H80=0,"prezzo costo da compilare",""),IF(I80=0,"prezzo vendita da compilare",""),IF(K80=0,"quantità da compilare",""))</x:f>
        <x:v>quantità da compilare</x:v>
      </x:c>
    </x:row>
    <x:row r="81">
      <x:c r="A81" t="str">
        <x:f>'Catalogo Ferramenta'!A81</x:f>
        <x:v>BD-0080</x:v>
      </x:c>
      <x:c r="B81" t="str">
        <x:f>'Catalogo Ferramenta'!B81</x:f>
        <x:v>5035048788462</x:v>
      </x:c>
      <x:c r="C81" t="str">
        <x:f>'Catalogo Ferramenta'!C81</x:f>
        <x:v>BCPP18D1-QW</x:v>
      </x:c>
      <x:c r="D81" t="str">
        <x:f>'Catalogo Ferramenta'!D81</x:f>
        <x:v>Potatore a batteria 18V</x:v>
      </x:c>
      <x:c r="E81" t="str">
        <x:f>'Catalogo Ferramenta'!E81</x:f>
        <x:v>BLACK+DECKER</x:v>
      </x:c>
      <x:c r="F81" t="str">
        <x:f>'Catalogo Ferramenta'!F81</x:f>
        <x:v>GAMMA GIARDINO</x:v>
      </x:c>
      <x:c r="G81" t="str">
        <x:f>'Catalogo Ferramenta'!G81</x:f>
        <x:v>ELETTROSEGHE E POTATORI</x:v>
      </x:c>
      <x:c r="H81" s="12" t="n">
        <x:f>IF('Catalogo Ferramenta'!H81="",0,'Catalogo Ferramenta'!H81)</x:f>
        <x:v>0</x:v>
      </x:c>
      <x:c r="I81" s="12" t="n">
        <x:f>IF('Catalogo Ferramenta'!I81="",0,'Catalogo Ferramenta'!I81)</x:f>
        <x:v>0</x:v>
      </x:c>
      <x:c r="J81" s="14" t="n">
        <x:f>IF('Catalogo Ferramenta'!J81="",22,'Catalogo Ferramenta'!J81)</x:f>
        <x:v>22</x:v>
      </x:c>
      <x:c r="K81" s="14" t="n">
        <x:f>IF('Catalogo Ferramenta'!K81="",0,'Catalogo Ferramenta'!K81)</x:f>
        <x:v>0</x:v>
      </x:c>
      <x:c r="L81" s="14" t="n">
        <x:f>1</x:f>
        <x:v>1</x:v>
      </x:c>
      <x:c r="M81" t="n">
        <x:f>'Catalogo Ferramenta'!L81</x:f>
        <x:v>0</x:v>
      </x:c>
      <x:c r="N81" t="n">
        <x:f>'Catalogo Ferramenta'!M81</x:f>
        <x:v>0</x:v>
      </x:c>
      <x:c r="O81" t="str">
        <x:f>'Catalogo Ferramenta'!N81</x:f>
        <x:v>BLACK+DECKER</x:v>
      </x:c>
      <x:c r="P81" t="str">
        <x:f>'Catalogo Ferramenta'!P81</x:f>
        <x:v>Catalogo Black+Decker Lo Specialista 2026, pagina 108. Prezzi se presenti: raccomandati dal catalogo.</x:v>
      </x:c>
      <x:c r="Q81" s="14" t="n">
        <x:f>'Catalogo Ferramenta'!R81</x:f>
        <x:v>108</x:v>
      </x:c>
      <x:c r="R81" t="str">
        <x:f>'Catalogo Ferramenta'!S81</x:f>
        <x:v>B+D_CATALOGO Lo Specialista 2026.pdf</x:v>
      </x:c>
      <x:c r="S81" s="45" t="b">
        <x:f>AND(D81&lt;&gt;"",B81&lt;&gt;"")</x:f>
        <x:v>1</x:v>
      </x:c>
      <x:c r="T81" t="str">
        <x:f>TEXTJOIN("; ",TRUE,IF(D81="","manca nome",""),IF(B81="","manca barcode",""),IF(H81=0,"prezzo costo da compilare",""),IF(I81=0,"prezzo vendita da compilare",""),IF(K81=0,"quantità da compilare",""))</x:f>
        <x:v>prezzo costo da compilare; prezzo vendita da compilare; quantità da compilare</x:v>
      </x:c>
    </x:row>
    <x:row r="82">
      <x:c r="A82" t="str">
        <x:f>'Catalogo Ferramenta'!A82</x:f>
        <x:v>BD-0081</x:v>
      </x:c>
      <x:c r="B82" t="str">
        <x:f>'Catalogo Ferramenta'!B82</x:f>
        <x:v>5035048796863</x:v>
      </x:c>
      <x:c r="C82" t="str">
        <x:f>'Catalogo Ferramenta'!C82</x:f>
        <x:v>BCPPRB1-XJ</x:v>
      </x:c>
      <x:c r="D82" t="str">
        <x:f>'Catalogo Ferramenta'!D82</x:f>
        <x:v>Lama per Potatorino 18V (cod. BCPP18D1-QW, BCPP18B-XJ)</x:v>
      </x:c>
      <x:c r="E82" t="str">
        <x:f>'Catalogo Ferramenta'!E82</x:f>
        <x:v>BLACK+DECKER</x:v>
      </x:c>
      <x:c r="F82" t="str">
        <x:f>'Catalogo Ferramenta'!F82</x:f>
        <x:v>GAMMA GIARDINO</x:v>
      </x:c>
      <x:c r="G82" t="str">
        <x:f>'Catalogo Ferramenta'!G82</x:f>
        <x:v>ACCESSORI GIARDINO</x:v>
      </x:c>
      <x:c r="H82" s="12" t="n">
        <x:f>IF('Catalogo Ferramenta'!H82="",0,'Catalogo Ferramenta'!H82)</x:f>
        <x:v>81.9</x:v>
      </x:c>
      <x:c r="I82" s="12" t="n">
        <x:f>IF('Catalogo Ferramenta'!I82="",0,'Catalogo Ferramenta'!I82)</x:f>
        <x:v>99.9</x:v>
      </x:c>
      <x:c r="J82" s="14" t="n">
        <x:f>IF('Catalogo Ferramenta'!J82="",22,'Catalogo Ferramenta'!J82)</x:f>
        <x:v>22</x:v>
      </x:c>
      <x:c r="K82" s="14" t="n">
        <x:f>IF('Catalogo Ferramenta'!K82="",0,'Catalogo Ferramenta'!K82)</x:f>
        <x:v>0</x:v>
      </x:c>
      <x:c r="L82" s="14" t="n">
        <x:f>1</x:f>
        <x:v>1</x:v>
      </x:c>
      <x:c r="M82" t="n">
        <x:f>'Catalogo Ferramenta'!L82</x:f>
        <x:v>0</x:v>
      </x:c>
      <x:c r="N82" t="n">
        <x:f>'Catalogo Ferramenta'!M82</x:f>
        <x:v>0</x:v>
      </x:c>
      <x:c r="O82" t="str">
        <x:f>'Catalogo Ferramenta'!N82</x:f>
        <x:v>BLACK+DECKER</x:v>
      </x:c>
      <x:c r="P82" t="str">
        <x:f>'Catalogo Ferramenta'!P82</x:f>
        <x:v>Catalogo Black+Decker Lo Specialista 2026, pagina 109. Prezzi se presenti: raccomandati dal catalogo.</x:v>
      </x:c>
      <x:c r="Q82" s="14" t="n">
        <x:f>'Catalogo Ferramenta'!R82</x:f>
        <x:v>109</x:v>
      </x:c>
      <x:c r="R82" t="str">
        <x:f>'Catalogo Ferramenta'!S82</x:f>
        <x:v>B+D_CATALOGO Lo Specialista 2026.pdf</x:v>
      </x:c>
      <x:c r="S82" s="45" t="b">
        <x:f>AND(D82&lt;&gt;"",B82&lt;&gt;"")</x:f>
        <x:v>1</x:v>
      </x:c>
      <x:c r="T82" t="str">
        <x:f>TEXTJOIN("; ",TRUE,IF(D82="","manca nome",""),IF(B82="","manca barcode",""),IF(H82=0,"prezzo costo da compilare",""),IF(I82=0,"prezzo vendita da compilare",""),IF(K82=0,"quantità da compilare",""))</x:f>
        <x:v>quantità da compilare</x:v>
      </x:c>
    </x:row>
    <x:row r="83">
      <x:c r="A83" t="str">
        <x:f>'Catalogo Ferramenta'!A83</x:f>
        <x:v>BD-0082</x:v>
      </x:c>
      <x:c r="B83" t="str">
        <x:f>'Catalogo Ferramenta'!B83</x:f>
        <x:v>5035048788592</x:v>
      </x:c>
      <x:c r="C83" t="str">
        <x:f>'Catalogo Ferramenta'!C83</x:f>
        <x:v>BCRC115-XJ</x:v>
      </x:c>
      <x:c r="D83" t="str">
        <x:f>'Catalogo Ferramenta'!D83</x:f>
        <x:v>Taglierino elettrico</x:v>
      </x:c>
      <x:c r="E83" t="str">
        <x:f>'Catalogo Ferramenta'!E83</x:f>
        <x:v>BLACK+DECKER</x:v>
      </x:c>
      <x:c r="F83" t="str">
        <x:f>'Catalogo Ferramenta'!F83</x:f>
        <x:v>ELETTROUTENSILI</x:v>
      </x:c>
      <x:c r="G83" t="str">
        <x:f>'Catalogo Ferramenta'!G83</x:f>
        <x:v>UTENSILI PER DECORAZIONE</x:v>
      </x:c>
      <x:c r="H83" s="12" t="n">
        <x:f>IF('Catalogo Ferramenta'!H83="",0,'Catalogo Ferramenta'!H83)</x:f>
        <x:v>32.7</x:v>
      </x:c>
      <x:c r="I83" s="12" t="n">
        <x:f>IF('Catalogo Ferramenta'!I83="",0,'Catalogo Ferramenta'!I83)</x:f>
        <x:v>39.9</x:v>
      </x:c>
      <x:c r="J83" s="14" t="n">
        <x:f>IF('Catalogo Ferramenta'!J83="",22,'Catalogo Ferramenta'!J83)</x:f>
        <x:v>22</x:v>
      </x:c>
      <x:c r="K83" s="14" t="n">
        <x:f>IF('Catalogo Ferramenta'!K83="",0,'Catalogo Ferramenta'!K83)</x:f>
        <x:v>0</x:v>
      </x:c>
      <x:c r="L83" s="14" t="n">
        <x:f>1</x:f>
        <x:v>1</x:v>
      </x:c>
      <x:c r="M83" t="n">
        <x:f>'Catalogo Ferramenta'!L83</x:f>
        <x:v>0</x:v>
      </x:c>
      <x:c r="N83" t="n">
        <x:f>'Catalogo Ferramenta'!M83</x:f>
        <x:v>0</x:v>
      </x:c>
      <x:c r="O83" t="str">
        <x:f>'Catalogo Ferramenta'!N83</x:f>
        <x:v>BLACK+DECKER</x:v>
      </x:c>
      <x:c r="P83" t="str">
        <x:f>'Catalogo Ferramenta'!P83</x:f>
        <x:v>Catalogo Black+Decker Lo Specialista 2026, pagina 61. Prezzi se presenti: raccomandati dal catalogo.</x:v>
      </x:c>
      <x:c r="Q83" s="14" t="n">
        <x:f>'Catalogo Ferramenta'!R83</x:f>
        <x:v>61</x:v>
      </x:c>
      <x:c r="R83" t="str">
        <x:f>'Catalogo Ferramenta'!S83</x:f>
        <x:v>B+D_CATALOGO Lo Specialista 2026.pdf</x:v>
      </x:c>
      <x:c r="S83" s="45" t="b">
        <x:f>AND(D83&lt;&gt;"",B83&lt;&gt;"")</x:f>
        <x:v>1</x:v>
      </x:c>
      <x:c r="T83" t="str">
        <x:f>TEXTJOIN("; ",TRUE,IF(D83="","manca nome",""),IF(B83="","manca barcode",""),IF(H83=0,"prezzo costo da compilare",""),IF(I83=0,"prezzo vendita da compilare",""),IF(K83=0,"quantità da compilare",""))</x:f>
        <x:v>quantità da compilare</x:v>
      </x:c>
    </x:row>
    <x:row r="84">
      <x:c r="A84" t="str">
        <x:f>'Catalogo Ferramenta'!A84</x:f>
        <x:v>BD-0083</x:v>
      </x:c>
      <x:c r="B84" t="str">
        <x:f>'Catalogo Ferramenta'!B84</x:f>
        <x:v>5035048741412</x:v>
      </x:c>
      <x:c r="C84" t="str">
        <x:f>'Catalogo Ferramenta'!C84</x:f>
        <x:v>BCRT8I-XJ</x:v>
      </x:c>
      <x:c r="D84" t="str">
        <x:f>'Catalogo Ferramenta'!D84</x:f>
        <x:v>Utensile multifunzione rotativo con 36 accessori</x:v>
      </x:c>
      <x:c r="E84" t="str">
        <x:f>'Catalogo Ferramenta'!E84</x:f>
        <x:v>BLACK+DECKER</x:v>
      </x:c>
      <x:c r="F84" t="str">
        <x:f>'Catalogo Ferramenta'!F84</x:f>
        <x:v>ELETTROUTENSILI</x:v>
      </x:c>
      <x:c r="G84" t="str">
        <x:f>'Catalogo Ferramenta'!G84</x:f>
        <x:v>PIALLETTI, ELETTROFRESATRICI ED ALTRI UTENSILI</x:v>
      </x:c>
      <x:c r="H84" s="12" t="n">
        <x:f>IF('Catalogo Ferramenta'!H84="",0,'Catalogo Ferramenta'!H84)</x:f>
        <x:v>36.8</x:v>
      </x:c>
      <x:c r="I84" s="12" t="n">
        <x:f>IF('Catalogo Ferramenta'!I84="",0,'Catalogo Ferramenta'!I84)</x:f>
        <x:v>44.9</x:v>
      </x:c>
      <x:c r="J84" s="14" t="n">
        <x:f>IF('Catalogo Ferramenta'!J84="",22,'Catalogo Ferramenta'!J84)</x:f>
        <x:v>22</x:v>
      </x:c>
      <x:c r="K84" s="14" t="n">
        <x:f>IF('Catalogo Ferramenta'!K84="",0,'Catalogo Ferramenta'!K84)</x:f>
        <x:v>0</x:v>
      </x:c>
      <x:c r="L84" s="14" t="n">
        <x:f>1</x:f>
        <x:v>1</x:v>
      </x:c>
      <x:c r="M84" t="n">
        <x:f>'Catalogo Ferramenta'!L84</x:f>
        <x:v>0</x:v>
      </x:c>
      <x:c r="N84" t="n">
        <x:f>'Catalogo Ferramenta'!M84</x:f>
        <x:v>0</x:v>
      </x:c>
      <x:c r="O84" t="str">
        <x:f>'Catalogo Ferramenta'!N84</x:f>
        <x:v>BLACK+DECKER</x:v>
      </x:c>
      <x:c r="P84" t="str">
        <x:f>'Catalogo Ferramenta'!P84</x:f>
        <x:v>Catalogo Black+Decker Lo Specialista 2026, pagina 58. Prezzi se presenti: raccomandati dal catalogo.</x:v>
      </x:c>
      <x:c r="Q84" s="14" t="n">
        <x:f>'Catalogo Ferramenta'!R84</x:f>
        <x:v>58</x:v>
      </x:c>
      <x:c r="R84" t="str">
        <x:f>'Catalogo Ferramenta'!S84</x:f>
        <x:v>B+D_CATALOGO Lo Specialista 2026.pdf</x:v>
      </x:c>
      <x:c r="S84" s="45" t="b">
        <x:f>AND(D84&lt;&gt;"",B84&lt;&gt;"")</x:f>
        <x:v>1</x:v>
      </x:c>
      <x:c r="T84" t="str">
        <x:f>TEXTJOIN("; ",TRUE,IF(D84="","manca nome",""),IF(B84="","manca barcode",""),IF(H84=0,"prezzo costo da compilare",""),IF(I84=0,"prezzo vendita da compilare",""),IF(K84=0,"quantità da compilare",""))</x:f>
        <x:v>quantità da compilare</x:v>
      </x:c>
    </x:row>
    <x:row r="85">
      <x:c r="A85" t="str">
        <x:f>'Catalogo Ferramenta'!A85</x:f>
        <x:v>BD-0084</x:v>
      </x:c>
      <x:c r="B85" t="str">
        <x:f>'Catalogo Ferramenta'!B85</x:f>
        <x:v>5035048733844</x:v>
      </x:c>
      <x:c r="C85" t="str">
        <x:f>'Catalogo Ferramenta'!C85</x:f>
        <x:v>BCRTA01-XJ</x:v>
      </x:c>
      <x:c r="D85" t="str">
        <x:f>'Catalogo Ferramenta'!D85</x:f>
        <x:v>Svitavvita per mobili HEX DRIVER</x:v>
      </x:c>
      <x:c r="E85" t="str">
        <x:f>'Catalogo Ferramenta'!E85</x:f>
        <x:v>BLACK+DECKER</x:v>
      </x:c>
      <x:c r="F85" t="str">
        <x:f>'Catalogo Ferramenta'!F85</x:f>
        <x:v>ELETTROUTENSILI</x:v>
      </x:c>
      <x:c r="G85" t="str">
        <x:f>'Catalogo Ferramenta'!G85</x:f>
        <x:v>SVITAVVITA</x:v>
      </x:c>
      <x:c r="H85" s="12" t="n">
        <x:f>IF('Catalogo Ferramenta'!H85="",0,'Catalogo Ferramenta'!H85)</x:f>
        <x:v>27</x:v>
      </x:c>
      <x:c r="I85" s="12" t="n">
        <x:f>IF('Catalogo Ferramenta'!I85="",0,'Catalogo Ferramenta'!I85)</x:f>
        <x:v>32.9</x:v>
      </x:c>
      <x:c r="J85" s="14" t="n">
        <x:f>IF('Catalogo Ferramenta'!J85="",22,'Catalogo Ferramenta'!J85)</x:f>
        <x:v>22</x:v>
      </x:c>
      <x:c r="K85" s="14" t="n">
        <x:f>IF('Catalogo Ferramenta'!K85="",0,'Catalogo Ferramenta'!K85)</x:f>
        <x:v>0</x:v>
      </x:c>
      <x:c r="L85" s="14" t="n">
        <x:f>1</x:f>
        <x:v>1</x:v>
      </x:c>
      <x:c r="M85" t="n">
        <x:f>'Catalogo Ferramenta'!L85</x:f>
        <x:v>0</x:v>
      </x:c>
      <x:c r="N85" t="n">
        <x:f>'Catalogo Ferramenta'!M85</x:f>
        <x:v>0</x:v>
      </x:c>
      <x:c r="O85" t="str">
        <x:f>'Catalogo Ferramenta'!N85</x:f>
        <x:v>BLACK+DECKER</x:v>
      </x:c>
      <x:c r="P85" t="str">
        <x:f>'Catalogo Ferramenta'!P85</x:f>
        <x:v>Catalogo Black+Decker Lo Specialista 2026, pagina 26. Prezzi se presenti: raccomandati dal catalogo.</x:v>
      </x:c>
      <x:c r="Q85" s="14" t="n">
        <x:f>'Catalogo Ferramenta'!R85</x:f>
        <x:v>26</x:v>
      </x:c>
      <x:c r="R85" t="str">
        <x:f>'Catalogo Ferramenta'!S85</x:f>
        <x:v>B+D_CATALOGO Lo Specialista 2026.pdf</x:v>
      </x:c>
      <x:c r="S85" s="45" t="b">
        <x:f>AND(D85&lt;&gt;"",B85&lt;&gt;"")</x:f>
        <x:v>1</x:v>
      </x:c>
      <x:c r="T85" t="str">
        <x:f>TEXTJOIN("; ",TRUE,IF(D85="","manca nome",""),IF(B85="","manca barcode",""),IF(H85=0,"prezzo costo da compilare",""),IF(I85=0,"prezzo vendita da compilare",""),IF(K85=0,"quantità da compilare",""))</x:f>
        <x:v>quantità da compilare</x:v>
      </x:c>
    </x:row>
    <x:row r="86">
      <x:c r="A86" t="str">
        <x:f>'Catalogo Ferramenta'!A86</x:f>
        <x:v>BD-0085</x:v>
      </x:c>
      <x:c r="B86" t="str">
        <x:f>'Catalogo Ferramenta'!B86</x:f>
        <x:v>5035048788615</x:v>
      </x:c>
      <x:c r="C86" t="str">
        <x:f>'Catalogo Ferramenta'!C86</x:f>
        <x:v>BCSC115-XJ</x:v>
      </x:c>
      <x:c r="D86" t="str">
        <x:f>'Catalogo Ferramenta'!D86</x:f>
        <x:v>Forbici elettriche</x:v>
      </x:c>
      <x:c r="E86" t="str">
        <x:f>'Catalogo Ferramenta'!E86</x:f>
        <x:v>BLACK+DECKER</x:v>
      </x:c>
      <x:c r="F86" t="str">
        <x:f>'Catalogo Ferramenta'!F86</x:f>
        <x:v>ELETTROUTENSILI</x:v>
      </x:c>
      <x:c r="G86" t="str">
        <x:f>'Catalogo Ferramenta'!G86</x:f>
        <x:v>UTENSILI PER DECORAZIONE</x:v>
      </x:c>
      <x:c r="H86" s="12" t="n">
        <x:f>IF('Catalogo Ferramenta'!H86="",0,'Catalogo Ferramenta'!H86)</x:f>
        <x:v>32.7</x:v>
      </x:c>
      <x:c r="I86" s="12" t="n">
        <x:f>IF('Catalogo Ferramenta'!I86="",0,'Catalogo Ferramenta'!I86)</x:f>
        <x:v>39.9</x:v>
      </x:c>
      <x:c r="J86" s="14" t="n">
        <x:f>IF('Catalogo Ferramenta'!J86="",22,'Catalogo Ferramenta'!J86)</x:f>
        <x:v>22</x:v>
      </x:c>
      <x:c r="K86" s="14" t="n">
        <x:f>IF('Catalogo Ferramenta'!K86="",0,'Catalogo Ferramenta'!K86)</x:f>
        <x:v>0</x:v>
      </x:c>
      <x:c r="L86" s="14" t="n">
        <x:f>1</x:f>
        <x:v>1</x:v>
      </x:c>
      <x:c r="M86" t="n">
        <x:f>'Catalogo Ferramenta'!L86</x:f>
        <x:v>0</x:v>
      </x:c>
      <x:c r="N86" t="n">
        <x:f>'Catalogo Ferramenta'!M86</x:f>
        <x:v>0</x:v>
      </x:c>
      <x:c r="O86" t="str">
        <x:f>'Catalogo Ferramenta'!N86</x:f>
        <x:v>BLACK+DECKER</x:v>
      </x:c>
      <x:c r="P86" t="str">
        <x:f>'Catalogo Ferramenta'!P86</x:f>
        <x:v>Catalogo Black+Decker Lo Specialista 2026, pagina 62. Prezzi se presenti: raccomandati dal catalogo.</x:v>
      </x:c>
      <x:c r="Q86" s="14" t="n">
        <x:f>'Catalogo Ferramenta'!R86</x:f>
        <x:v>62</x:v>
      </x:c>
      <x:c r="R86" t="str">
        <x:f>'Catalogo Ferramenta'!S86</x:f>
        <x:v>B+D_CATALOGO Lo Specialista 2026.pdf</x:v>
      </x:c>
      <x:c r="S86" s="45" t="b">
        <x:f>AND(D86&lt;&gt;"",B86&lt;&gt;"")</x:f>
        <x:v>1</x:v>
      </x:c>
      <x:c r="T86" t="str">
        <x:f>TEXTJOIN("; ",TRUE,IF(D86="","manca nome",""),IF(B86="","manca barcode",""),IF(H86=0,"prezzo costo da compilare",""),IF(I86=0,"prezzo vendita da compilare",""),IF(K86=0,"quantità da compilare",""))</x:f>
        <x:v>quantità da compilare</x:v>
      </x:c>
    </x:row>
    <x:row r="87">
      <x:c r="A87" t="str">
        <x:f>'Catalogo Ferramenta'!A87</x:f>
        <x:v>BD-0086</x:v>
      </x:c>
      <x:c r="B87" t="str">
        <x:f>'Catalogo Ferramenta'!B87</x:f>
        <x:v>5035048736913</x:v>
      </x:c>
      <x:c r="C87" t="str">
        <x:f>'Catalogo Ferramenta'!C87</x:f>
        <x:v>BCSS18B-XJ</x:v>
      </x:c>
      <x:c r="D87" t="str">
        <x:f>'Catalogo Ferramenta'!D87</x:f>
        <x:v>Cesoia sfoltirami a batteria (solo corpo macchina)</x:v>
      </x:c>
      <x:c r="E87" t="str">
        <x:f>'Catalogo Ferramenta'!E87</x:f>
        <x:v>BLACK+DECKER</x:v>
      </x:c>
      <x:c r="F87" t="str">
        <x:f>'Catalogo Ferramenta'!F87</x:f>
        <x:v>GAMMA GIARDINO</x:v>
      </x:c>
      <x:c r="G87" t="str">
        <x:f>'Catalogo Ferramenta'!G87</x:f>
        <x:v>TAGLIASIEPI E CESOIE</x:v>
      </x:c>
      <x:c r="H87" s="12" t="n">
        <x:f>IF('Catalogo Ferramenta'!H87="",0,'Catalogo Ferramenta'!H87)</x:f>
        <x:v>53.2</x:v>
      </x:c>
      <x:c r="I87" s="12" t="n">
        <x:f>IF('Catalogo Ferramenta'!I87="",0,'Catalogo Ferramenta'!I87)</x:f>
        <x:v>64.9</x:v>
      </x:c>
      <x:c r="J87" s="14" t="n">
        <x:f>IF('Catalogo Ferramenta'!J87="",22,'Catalogo Ferramenta'!J87)</x:f>
        <x:v>22</x:v>
      </x:c>
      <x:c r="K87" s="14" t="n">
        <x:f>IF('Catalogo Ferramenta'!K87="",0,'Catalogo Ferramenta'!K87)</x:f>
        <x:v>0</x:v>
      </x:c>
      <x:c r="L87" s="14" t="n">
        <x:f>1</x:f>
        <x:v>1</x:v>
      </x:c>
      <x:c r="M87" t="n">
        <x:f>'Catalogo Ferramenta'!L87</x:f>
        <x:v>0</x:v>
      </x:c>
      <x:c r="N87" t="n">
        <x:f>'Catalogo Ferramenta'!M87</x:f>
        <x:v>0</x:v>
      </x:c>
      <x:c r="O87" t="str">
        <x:f>'Catalogo Ferramenta'!N87</x:f>
        <x:v>BLACK+DECKER</x:v>
      </x:c>
      <x:c r="P87" t="str">
        <x:f>'Catalogo Ferramenta'!P87</x:f>
        <x:v>Catalogo Black+Decker Lo Specialista 2026, pagina 116. Prezzi se presenti: raccomandati dal catalogo.</x:v>
      </x:c>
      <x:c r="Q87" s="14" t="n">
        <x:f>'Catalogo Ferramenta'!R87</x:f>
        <x:v>116</x:v>
      </x:c>
      <x:c r="R87" t="str">
        <x:f>'Catalogo Ferramenta'!S87</x:f>
        <x:v>B+D_CATALOGO Lo Specialista 2026.pdf</x:v>
      </x:c>
      <x:c r="S87" s="45" t="b">
        <x:f>AND(D87&lt;&gt;"",B87&lt;&gt;"")</x:f>
        <x:v>1</x:v>
      </x:c>
      <x:c r="T87" t="str">
        <x:f>TEXTJOIN("; ",TRUE,IF(D87="","manca nome",""),IF(B87="","manca barcode",""),IF(H87=0,"prezzo costo da compilare",""),IF(I87=0,"prezzo vendita da compilare",""),IF(K87=0,"quantità da compilare",""))</x:f>
        <x:v>quantità da compilare</x:v>
      </x:c>
    </x:row>
    <x:row r="88">
      <x:c r="A88" t="str">
        <x:f>'Catalogo Ferramenta'!A88</x:f>
        <x:v>BD-0087</x:v>
      </x:c>
      <x:c r="B88" t="str">
        <x:f>'Catalogo Ferramenta'!B88</x:f>
        <x:v>5035048737224</x:v>
      </x:c>
      <x:c r="C88" t="str">
        <x:f>'Catalogo Ferramenta'!C88</x:f>
        <x:v>BCSS18D1-QW</x:v>
      </x:c>
      <x:c r="D88" t="str">
        <x:f>'Catalogo Ferramenta'!D88</x:f>
        <x:v>Cesoia sfoltirami</x:v>
      </x:c>
      <x:c r="E88" t="str">
        <x:f>'Catalogo Ferramenta'!E88</x:f>
        <x:v>BLACK+DECKER</x:v>
      </x:c>
      <x:c r="F88" t="str">
        <x:f>'Catalogo Ferramenta'!F88</x:f>
        <x:v>GAMMA GIARDINO</x:v>
      </x:c>
      <x:c r="G88" t="str">
        <x:f>'Catalogo Ferramenta'!G88</x:f>
        <x:v>TAGLIASIEPI E CESOIE</x:v>
      </x:c>
      <x:c r="H88" s="12" t="n">
        <x:f>IF('Catalogo Ferramenta'!H88="",0,'Catalogo Ferramenta'!H88)</x:f>
        <x:v>98.3</x:v>
      </x:c>
      <x:c r="I88" s="12" t="n">
        <x:f>IF('Catalogo Ferramenta'!I88="",0,'Catalogo Ferramenta'!I88)</x:f>
        <x:v>119.9</x:v>
      </x:c>
      <x:c r="J88" s="14" t="n">
        <x:f>IF('Catalogo Ferramenta'!J88="",22,'Catalogo Ferramenta'!J88)</x:f>
        <x:v>22</x:v>
      </x:c>
      <x:c r="K88" s="14" t="n">
        <x:f>IF('Catalogo Ferramenta'!K88="",0,'Catalogo Ferramenta'!K88)</x:f>
        <x:v>0</x:v>
      </x:c>
      <x:c r="L88" s="14" t="n">
        <x:f>1</x:f>
        <x:v>1</x:v>
      </x:c>
      <x:c r="M88" t="n">
        <x:f>'Catalogo Ferramenta'!L88</x:f>
        <x:v>0</x:v>
      </x:c>
      <x:c r="N88" t="n">
        <x:f>'Catalogo Ferramenta'!M88</x:f>
        <x:v>0</x:v>
      </x:c>
      <x:c r="O88" t="str">
        <x:f>'Catalogo Ferramenta'!N88</x:f>
        <x:v>BLACK+DECKER</x:v>
      </x:c>
      <x:c r="P88" t="str">
        <x:f>'Catalogo Ferramenta'!P88</x:f>
        <x:v>Catalogo Black+Decker Lo Specialista 2026, pagina 116. Prezzi se presenti: raccomandati dal catalogo.</x:v>
      </x:c>
      <x:c r="Q88" s="14" t="n">
        <x:f>'Catalogo Ferramenta'!R88</x:f>
        <x:v>116</x:v>
      </x:c>
      <x:c r="R88" t="str">
        <x:f>'Catalogo Ferramenta'!S88</x:f>
        <x:v>B+D_CATALOGO Lo Specialista 2026.pdf</x:v>
      </x:c>
      <x:c r="S88" s="45" t="b">
        <x:f>AND(D88&lt;&gt;"",B88&lt;&gt;"")</x:f>
        <x:v>1</x:v>
      </x:c>
      <x:c r="T88" t="str">
        <x:f>TEXTJOIN("; ",TRUE,IF(D88="","manca nome",""),IF(B88="","manca barcode",""),IF(H88=0,"prezzo costo da compilare",""),IF(I88=0,"prezzo vendita da compilare",""),IF(K88=0,"quantità da compilare",""))</x:f>
        <x:v>quantità da compilare</x:v>
      </x:c>
    </x:row>
    <x:row r="89">
      <x:c r="A89" t="str">
        <x:f>'Catalogo Ferramenta'!A89</x:f>
        <x:v>BD-0088</x:v>
      </x:c>
      <x:c r="B89" t="str">
        <x:f>'Catalogo Ferramenta'!B89</x:f>
        <x:v>5035048834787</x:v>
      </x:c>
      <x:c r="C89" t="str">
        <x:f>'Catalogo Ferramenta'!C89</x:f>
        <x:v>BCST918B-XJ</x:v>
      </x:c>
      <x:c r="D89" t="str">
        <x:f>'Catalogo Ferramenta'!D89</x:f>
        <x:v>Tagliabordi a batteria 18V (solo corpo macchina)</x:v>
      </x:c>
      <x:c r="E89" t="str">
        <x:f>'Catalogo Ferramenta'!E89</x:f>
        <x:v>BLACK+DECKER</x:v>
      </x:c>
      <x:c r="F89" t="str">
        <x:f>'Catalogo Ferramenta'!F89</x:f>
        <x:v>GAMMA GIARDINO</x:v>
      </x:c>
      <x:c r="G89" t="str">
        <x:f>'Catalogo Ferramenta'!G89</x:f>
        <x:v>TAGLIABORDI</x:v>
      </x:c>
      <x:c r="H89" s="12" t="n">
        <x:f>IF('Catalogo Ferramenta'!H89="",0,'Catalogo Ferramenta'!H89)</x:f>
        <x:v>73.7</x:v>
      </x:c>
      <x:c r="I89" s="12" t="n">
        <x:f>IF('Catalogo Ferramenta'!I89="",0,'Catalogo Ferramenta'!I89)</x:f>
        <x:v>89.9</x:v>
      </x:c>
      <x:c r="J89" s="14" t="n">
        <x:f>IF('Catalogo Ferramenta'!J89="",22,'Catalogo Ferramenta'!J89)</x:f>
        <x:v>22</x:v>
      </x:c>
      <x:c r="K89" s="14" t="n">
        <x:f>IF('Catalogo Ferramenta'!K89="",0,'Catalogo Ferramenta'!K89)</x:f>
        <x:v>0</x:v>
      </x:c>
      <x:c r="L89" s="14" t="n">
        <x:f>1</x:f>
        <x:v>1</x:v>
      </x:c>
      <x:c r="M89" t="n">
        <x:f>'Catalogo Ferramenta'!L89</x:f>
        <x:v>0</x:v>
      </x:c>
      <x:c r="N89" t="n">
        <x:f>'Catalogo Ferramenta'!M89</x:f>
        <x:v>0</x:v>
      </x:c>
      <x:c r="O89" t="str">
        <x:f>'Catalogo Ferramenta'!N89</x:f>
        <x:v>BLACK+DECKER</x:v>
      </x:c>
      <x:c r="P89" t="str">
        <x:f>'Catalogo Ferramenta'!P89</x:f>
        <x:v>Catalogo Black+Decker Lo Specialista 2026, pagina 95. Prezzi se presenti: raccomandati dal catalogo.</x:v>
      </x:c>
      <x:c r="Q89" s="14" t="n">
        <x:f>'Catalogo Ferramenta'!R89</x:f>
        <x:v>95</x:v>
      </x:c>
      <x:c r="R89" t="str">
        <x:f>'Catalogo Ferramenta'!S89</x:f>
        <x:v>B+D_CATALOGO Lo Specialista 2026.pdf</x:v>
      </x:c>
      <x:c r="S89" s="45" t="b">
        <x:f>AND(D89&lt;&gt;"",B89&lt;&gt;"")</x:f>
        <x:v>1</x:v>
      </x:c>
      <x:c r="T89" t="str">
        <x:f>TEXTJOIN("; ",TRUE,IF(D89="","manca nome",""),IF(B89="","manca barcode",""),IF(H89=0,"prezzo costo da compilare",""),IF(I89=0,"prezzo vendita da compilare",""),IF(K89=0,"quantità da compilare",""))</x:f>
        <x:v>quantità da compilare</x:v>
      </x:c>
    </x:row>
    <x:row r="90">
      <x:c r="A90" t="str">
        <x:f>'Catalogo Ferramenta'!A90</x:f>
        <x:v>BD-0089</x:v>
      </x:c>
      <x:c r="B90" t="str">
        <x:f>'Catalogo Ferramenta'!B90</x:f>
        <x:v>5035048834817</x:v>
      </x:c>
      <x:c r="C90" t="str">
        <x:f>'Catalogo Ferramenta'!C90</x:f>
        <x:v>BCST918D1-QW</x:v>
      </x:c>
      <x:c r="D90" t="str">
        <x:f>'Catalogo Ferramenta'!D90</x:f>
        <x:v>Tagliabordi a batteria 18V</x:v>
      </x:c>
      <x:c r="E90" t="str">
        <x:f>'Catalogo Ferramenta'!E90</x:f>
        <x:v>BLACK+DECKER</x:v>
      </x:c>
      <x:c r="F90" t="str">
        <x:f>'Catalogo Ferramenta'!F90</x:f>
        <x:v>GAMMA GIARDINO</x:v>
      </x:c>
      <x:c r="G90" t="str">
        <x:f>'Catalogo Ferramenta'!G90</x:f>
        <x:v>TAGLIABORDI</x:v>
      </x:c>
      <x:c r="H90" s="12" t="n">
        <x:f>IF('Catalogo Ferramenta'!H90="",0,'Catalogo Ferramenta'!H90)</x:f>
        <x:v>98.3</x:v>
      </x:c>
      <x:c r="I90" s="12" t="n">
        <x:f>IF('Catalogo Ferramenta'!I90="",0,'Catalogo Ferramenta'!I90)</x:f>
        <x:v>119.9</x:v>
      </x:c>
      <x:c r="J90" s="14" t="n">
        <x:f>IF('Catalogo Ferramenta'!J90="",22,'Catalogo Ferramenta'!J90)</x:f>
        <x:v>22</x:v>
      </x:c>
      <x:c r="K90" s="14" t="n">
        <x:f>IF('Catalogo Ferramenta'!K90="",0,'Catalogo Ferramenta'!K90)</x:f>
        <x:v>0</x:v>
      </x:c>
      <x:c r="L90" s="14" t="n">
        <x:f>1</x:f>
        <x:v>1</x:v>
      </x:c>
      <x:c r="M90" t="n">
        <x:f>'Catalogo Ferramenta'!L90</x:f>
        <x:v>0</x:v>
      </x:c>
      <x:c r="N90" t="n">
        <x:f>'Catalogo Ferramenta'!M90</x:f>
        <x:v>0</x:v>
      </x:c>
      <x:c r="O90" t="str">
        <x:f>'Catalogo Ferramenta'!N90</x:f>
        <x:v>BLACK+DECKER</x:v>
      </x:c>
      <x:c r="P90" t="str">
        <x:f>'Catalogo Ferramenta'!P90</x:f>
        <x:v>Catalogo Black+Decker Lo Specialista 2026, pagina 95. Prezzi se presenti: raccomandati dal catalogo.</x:v>
      </x:c>
      <x:c r="Q90" s="14" t="n">
        <x:f>'Catalogo Ferramenta'!R90</x:f>
        <x:v>95</x:v>
      </x:c>
      <x:c r="R90" t="str">
        <x:f>'Catalogo Ferramenta'!S90</x:f>
        <x:v>B+D_CATALOGO Lo Specialista 2026.pdf</x:v>
      </x:c>
      <x:c r="S90" s="45" t="b">
        <x:f>AND(D90&lt;&gt;"",B90&lt;&gt;"")</x:f>
        <x:v>1</x:v>
      </x:c>
      <x:c r="T90" t="str">
        <x:f>TEXTJOIN("; ",TRUE,IF(D90="","manca nome",""),IF(B90="","manca barcode",""),IF(H90=0,"prezzo costo da compilare",""),IF(I90=0,"prezzo vendita da compilare",""),IF(K90=0,"quantità da compilare",""))</x:f>
        <x:v>quantità da compilare</x:v>
      </x:c>
    </x:row>
    <x:row r="91">
      <x:c r="A91" t="str">
        <x:f>'Catalogo Ferramenta'!A91</x:f>
        <x:v>BD-0090</x:v>
      </x:c>
      <x:c r="B91" t="str">
        <x:f>'Catalogo Ferramenta'!B91</x:f>
        <x:v>5035048723456</x:v>
      </x:c>
      <x:c r="C91" t="str">
        <x:f>'Catalogo Ferramenta'!C91</x:f>
        <x:v>BCSTE636L1-QW</x:v>
      </x:c>
      <x:c r="D91" t="str">
        <x:f>'Catalogo Ferramenta'!D91</x:f>
        <x:v>Tagliabordi a batteria 36V</x:v>
      </x:c>
      <x:c r="E91" t="str">
        <x:f>'Catalogo Ferramenta'!E91</x:f>
        <x:v>BLACK+DECKER</x:v>
      </x:c>
      <x:c r="F91" t="str">
        <x:f>'Catalogo Ferramenta'!F91</x:f>
        <x:v>GAMMA GIARDINO</x:v>
      </x:c>
      <x:c r="G91" t="str">
        <x:f>'Catalogo Ferramenta'!G91</x:f>
        <x:v>TAGLIABORDI</x:v>
      </x:c>
      <x:c r="H91" s="12" t="n">
        <x:f>IF('Catalogo Ferramenta'!H91="",0,'Catalogo Ferramenta'!H91)</x:f>
        <x:v>180.3</x:v>
      </x:c>
      <x:c r="I91" s="12" t="n">
        <x:f>IF('Catalogo Ferramenta'!I91="",0,'Catalogo Ferramenta'!I91)</x:f>
        <x:v>220</x:v>
      </x:c>
      <x:c r="J91" s="14" t="n">
        <x:f>IF('Catalogo Ferramenta'!J91="",22,'Catalogo Ferramenta'!J91)</x:f>
        <x:v>22</x:v>
      </x:c>
      <x:c r="K91" s="14" t="n">
        <x:f>IF('Catalogo Ferramenta'!K91="",0,'Catalogo Ferramenta'!K91)</x:f>
        <x:v>0</x:v>
      </x:c>
      <x:c r="L91" s="14" t="n">
        <x:f>1</x:f>
        <x:v>1</x:v>
      </x:c>
      <x:c r="M91" t="n">
        <x:f>'Catalogo Ferramenta'!L91</x:f>
        <x:v>0</x:v>
      </x:c>
      <x:c r="N91" t="n">
        <x:f>'Catalogo Ferramenta'!M91</x:f>
        <x:v>0</x:v>
      </x:c>
      <x:c r="O91" t="str">
        <x:f>'Catalogo Ferramenta'!N91</x:f>
        <x:v>BLACK+DECKER</x:v>
      </x:c>
      <x:c r="P91" t="str">
        <x:f>'Catalogo Ferramenta'!P91</x:f>
        <x:v>Catalogo Black+Decker Lo Specialista 2026, pagina 96. Prezzi se presenti: raccomandati dal catalogo.</x:v>
      </x:c>
      <x:c r="Q91" s="14" t="n">
        <x:f>'Catalogo Ferramenta'!R91</x:f>
        <x:v>96</x:v>
      </x:c>
      <x:c r="R91" t="str">
        <x:f>'Catalogo Ferramenta'!S91</x:f>
        <x:v>B+D_CATALOGO Lo Specialista 2026.pdf</x:v>
      </x:c>
      <x:c r="S91" s="45" t="b">
        <x:f>AND(D91&lt;&gt;"",B91&lt;&gt;"")</x:f>
        <x:v>1</x:v>
      </x:c>
      <x:c r="T91" t="str">
        <x:f>TEXTJOIN("; ",TRUE,IF(D91="","manca nome",""),IF(B91="","manca barcode",""),IF(H91=0,"prezzo costo da compilare",""),IF(I91=0,"prezzo vendita da compilare",""),IF(K91=0,"quantità da compilare",""))</x:f>
        <x:v>quantità da compilare</x:v>
      </x:c>
    </x:row>
    <x:row r="92">
      <x:c r="A92" t="str">
        <x:f>'Catalogo Ferramenta'!A92</x:f>
        <x:v>BD-0091</x:v>
      </x:c>
      <x:c r="B92" t="str">
        <x:f>'Catalogo Ferramenta'!B92</x:f>
        <x:v>5035048835890</x:v>
      </x:c>
      <x:c r="C92" t="str">
        <x:f>'Catalogo Ferramenta'!C92</x:f>
        <x:v>BCSTR918B-XJ</x:v>
      </x:c>
      <x:c r="D92" t="str">
        <x:f>'Catalogo Ferramenta'!D92</x:f>
        <x:v>Tagliabordi a batteria 18V con lame in resina (solo corpo macchina)</x:v>
      </x:c>
      <x:c r="E92" t="str">
        <x:f>'Catalogo Ferramenta'!E92</x:f>
        <x:v>BLACK+DECKER</x:v>
      </x:c>
      <x:c r="F92" t="str">
        <x:f>'Catalogo Ferramenta'!F92</x:f>
        <x:v>GAMMA GIARDINO</x:v>
      </x:c>
      <x:c r="G92" t="str">
        <x:f>'Catalogo Ferramenta'!G92</x:f>
        <x:v>TAGLIABORDI</x:v>
      </x:c>
      <x:c r="H92" s="12" t="n">
        <x:f>IF('Catalogo Ferramenta'!H92="",0,'Catalogo Ferramenta'!H92)</x:f>
        <x:v>98.3</x:v>
      </x:c>
      <x:c r="I92" s="12" t="n">
        <x:f>IF('Catalogo Ferramenta'!I92="",0,'Catalogo Ferramenta'!I92)</x:f>
        <x:v>119.9</x:v>
      </x:c>
      <x:c r="J92" s="14" t="n">
        <x:f>IF('Catalogo Ferramenta'!J92="",22,'Catalogo Ferramenta'!J92)</x:f>
        <x:v>22</x:v>
      </x:c>
      <x:c r="K92" s="14" t="n">
        <x:f>IF('Catalogo Ferramenta'!K92="",0,'Catalogo Ferramenta'!K92)</x:f>
        <x:v>0</x:v>
      </x:c>
      <x:c r="L92" s="14" t="n">
        <x:f>1</x:f>
        <x:v>1</x:v>
      </x:c>
      <x:c r="M92" t="n">
        <x:f>'Catalogo Ferramenta'!L92</x:f>
        <x:v>0</x:v>
      </x:c>
      <x:c r="N92" t="n">
        <x:f>'Catalogo Ferramenta'!M92</x:f>
        <x:v>0</x:v>
      </x:c>
      <x:c r="O92" t="str">
        <x:f>'Catalogo Ferramenta'!N92</x:f>
        <x:v>BLACK+DECKER</x:v>
      </x:c>
      <x:c r="P92" t="str">
        <x:f>'Catalogo Ferramenta'!P92</x:f>
        <x:v>Catalogo Black+Decker Lo Specialista 2026, pagina 95. Prezzi se presenti: raccomandati dal catalogo.</x:v>
      </x:c>
      <x:c r="Q92" s="14" t="n">
        <x:f>'Catalogo Ferramenta'!R92</x:f>
        <x:v>95</x:v>
      </x:c>
      <x:c r="R92" t="str">
        <x:f>'Catalogo Ferramenta'!S92</x:f>
        <x:v>B+D_CATALOGO Lo Specialista 2026.pdf</x:v>
      </x:c>
      <x:c r="S92" s="45" t="b">
        <x:f>AND(D92&lt;&gt;"",B92&lt;&gt;"")</x:f>
        <x:v>1</x:v>
      </x:c>
      <x:c r="T92" t="str">
        <x:f>TEXTJOIN("; ",TRUE,IF(D92="","manca nome",""),IF(B92="","manca barcode",""),IF(H92=0,"prezzo costo da compilare",""),IF(I92=0,"prezzo vendita da compilare",""),IF(K92=0,"quantità da compilare",""))</x:f>
        <x:v>quantità da compilare</x:v>
      </x:c>
    </x:row>
    <x:row r="93">
      <x:c r="A93" t="str">
        <x:f>'Catalogo Ferramenta'!A93</x:f>
        <x:v>BD-0092</x:v>
      </x:c>
      <x:c r="B93" t="str">
        <x:f>'Catalogo Ferramenta'!B93</x:f>
        <x:v>5035048834879</x:v>
      </x:c>
      <x:c r="C93" t="str">
        <x:f>'Catalogo Ferramenta'!C93</x:f>
        <x:v>BCSTR918D1-QW</x:v>
      </x:c>
      <x:c r="D93" t="str">
        <x:f>'Catalogo Ferramenta'!D93</x:f>
        <x:v>Tagliabordi a batteria 18V con lame in resina</x:v>
      </x:c>
      <x:c r="E93" t="str">
        <x:f>'Catalogo Ferramenta'!E93</x:f>
        <x:v>BLACK+DECKER</x:v>
      </x:c>
      <x:c r="F93" t="str">
        <x:f>'Catalogo Ferramenta'!F93</x:f>
        <x:v>GAMMA GIARDINO</x:v>
      </x:c>
      <x:c r="G93" t="str">
        <x:f>'Catalogo Ferramenta'!G93</x:f>
        <x:v>TAGLIABORDI</x:v>
      </x:c>
      <x:c r="H93" s="12" t="n">
        <x:f>IF('Catalogo Ferramenta'!H93="",0,'Catalogo Ferramenta'!H93)</x:f>
        <x:v>0</x:v>
      </x:c>
      <x:c r="I93" s="12" t="n">
        <x:f>IF('Catalogo Ferramenta'!I93="",0,'Catalogo Ferramenta'!I93)</x:f>
        <x:v>0</x:v>
      </x:c>
      <x:c r="J93" s="14" t="n">
        <x:f>IF('Catalogo Ferramenta'!J93="",22,'Catalogo Ferramenta'!J93)</x:f>
        <x:v>22</x:v>
      </x:c>
      <x:c r="K93" s="14" t="n">
        <x:f>IF('Catalogo Ferramenta'!K93="",0,'Catalogo Ferramenta'!K93)</x:f>
        <x:v>0</x:v>
      </x:c>
      <x:c r="L93" s="14" t="n">
        <x:f>1</x:f>
        <x:v>1</x:v>
      </x:c>
      <x:c r="M93" t="n">
        <x:f>'Catalogo Ferramenta'!L93</x:f>
        <x:v>0</x:v>
      </x:c>
      <x:c r="N93" t="n">
        <x:f>'Catalogo Ferramenta'!M93</x:f>
        <x:v>0</x:v>
      </x:c>
      <x:c r="O93" t="str">
        <x:f>'Catalogo Ferramenta'!N93</x:f>
        <x:v>BLACK+DECKER</x:v>
      </x:c>
      <x:c r="P93" t="str">
        <x:f>'Catalogo Ferramenta'!P93</x:f>
        <x:v>Catalogo Black+Decker Lo Specialista 2026, pagina 95. Prezzi se presenti: raccomandati dal catalogo.</x:v>
      </x:c>
      <x:c r="Q93" s="14" t="n">
        <x:f>'Catalogo Ferramenta'!R93</x:f>
        <x:v>95</x:v>
      </x:c>
      <x:c r="R93" t="str">
        <x:f>'Catalogo Ferramenta'!S93</x:f>
        <x:v>B+D_CATALOGO Lo Specialista 2026.pdf</x:v>
      </x:c>
      <x:c r="S93" s="45" t="b">
        <x:f>AND(D93&lt;&gt;"",B93&lt;&gt;"")</x:f>
        <x:v>1</x:v>
      </x:c>
      <x:c r="T93" t="str">
        <x:f>TEXTJOIN("; ",TRUE,IF(D93="","manca nome",""),IF(B93="","manca barcode",""),IF(H93=0,"prezzo costo da compilare",""),IF(I93=0,"prezzo vendita da compilare",""),IF(K93=0,"quantità da compilare",""))</x:f>
        <x:v>prezzo costo da compilare; prezzo vendita da compilare; quantità da compilare</x:v>
      </x:c>
    </x:row>
    <x:row r="94">
      <x:c r="A94" t="str">
        <x:f>'Catalogo Ferramenta'!A94</x:f>
        <x:v>BD-0093</x:v>
      </x:c>
      <x:c r="B94" t="str">
        <x:f>'Catalogo Ferramenta'!B94</x:f>
        <x:v>5035048481677</x:v>
      </x:c>
      <x:c r="C94" t="str">
        <x:f>'Catalogo Ferramenta'!C94</x:f>
        <x:v>BDC1A-QW</x:v>
      </x:c>
      <x:c r="D94" t="str">
        <x:f>'Catalogo Ferramenta'!D94</x:f>
        <x:v>Caricabatterie rapido 1A</x:v>
      </x:c>
      <x:c r="E94" t="str">
        <x:f>'Catalogo Ferramenta'!E94</x:f>
        <x:v>BLACK+DECKER</x:v>
      </x:c>
      <x:c r="F94" t="str">
        <x:f>'Catalogo Ferramenta'!F94</x:f>
        <x:v>BATTERIE E CARICABATTERIE</x:v>
      </x:c>
      <x:c r="G94" t="str">
        <x:f>'Catalogo Ferramenta'!G94</x:f>
        <x:v>BATTERIE E CARICABATTERIE</x:v>
      </x:c>
      <x:c r="H94" s="12" t="n">
        <x:f>IF('Catalogo Ferramenta'!H94="",0,'Catalogo Ferramenta'!H94)</x:f>
        <x:v>24.5</x:v>
      </x:c>
      <x:c r="I94" s="12" t="n">
        <x:f>IF('Catalogo Ferramenta'!I94="",0,'Catalogo Ferramenta'!I94)</x:f>
        <x:v>29.9</x:v>
      </x:c>
      <x:c r="J94" s="14" t="n">
        <x:f>IF('Catalogo Ferramenta'!J94="",22,'Catalogo Ferramenta'!J94)</x:f>
        <x:v>22</x:v>
      </x:c>
      <x:c r="K94" s="14" t="n">
        <x:f>IF('Catalogo Ferramenta'!K94="",0,'Catalogo Ferramenta'!K94)</x:f>
        <x:v>0</x:v>
      </x:c>
      <x:c r="L94" s="14" t="n">
        <x:f>1</x:f>
        <x:v>1</x:v>
      </x:c>
      <x:c r="M94" t="n">
        <x:f>'Catalogo Ferramenta'!L94</x:f>
        <x:v>0</x:v>
      </x:c>
      <x:c r="N94" t="n">
        <x:f>'Catalogo Ferramenta'!M94</x:f>
        <x:v>0</x:v>
      </x:c>
      <x:c r="O94" t="str">
        <x:f>'Catalogo Ferramenta'!N94</x:f>
        <x:v>BLACK+DECKER</x:v>
      </x:c>
      <x:c r="P94" t="str">
        <x:f>'Catalogo Ferramenta'!P94</x:f>
        <x:v>Catalogo Black+Decker Lo Specialista 2026, pagina 126. Prezzi se presenti: raccomandati dal catalogo.</x:v>
      </x:c>
      <x:c r="Q94" s="14" t="n">
        <x:f>'Catalogo Ferramenta'!R94</x:f>
        <x:v>126</x:v>
      </x:c>
      <x:c r="R94" t="str">
        <x:f>'Catalogo Ferramenta'!S94</x:f>
        <x:v>B+D_CATALOGO Lo Specialista 2026.pdf</x:v>
      </x:c>
      <x:c r="S94" s="45" t="b">
        <x:f>AND(D94&lt;&gt;"",B94&lt;&gt;"")</x:f>
        <x:v>1</x:v>
      </x:c>
      <x:c r="T94" t="str">
        <x:f>TEXTJOIN("; ",TRUE,IF(D94="","manca nome",""),IF(B94="","manca barcode",""),IF(H94=0,"prezzo costo da compilare",""),IF(I94=0,"prezzo vendita da compilare",""),IF(K94=0,"quantità da compilare",""))</x:f>
        <x:v>quantità da compilare</x:v>
      </x:c>
    </x:row>
    <x:row r="95">
      <x:c r="A95" t="str">
        <x:f>'Catalogo Ferramenta'!A95</x:f>
        <x:v>BD-0094</x:v>
      </x:c>
      <x:c r="B95" t="str">
        <x:f>'Catalogo Ferramenta'!B95</x:f>
        <x:v>5035048481684</x:v>
      </x:c>
      <x:c r="C95" t="str">
        <x:f>'Catalogo Ferramenta'!C95</x:f>
        <x:v>BDC1A15-QW</x:v>
      </x:c>
      <x:c r="D95" t="str">
        <x:f>'Catalogo Ferramenta'!D95</x:f>
        <x:v>Starter kit: batteria 18 V 1.5 Ah + caricabatterie 1A</x:v>
      </x:c>
      <x:c r="E95" t="str">
        <x:f>'Catalogo Ferramenta'!E95</x:f>
        <x:v>BLACK+DECKER</x:v>
      </x:c>
      <x:c r="F95" t="str">
        <x:f>'Catalogo Ferramenta'!F95</x:f>
        <x:v>BATTERIE E CARICABATTERIE</x:v>
      </x:c>
      <x:c r="G95" t="str">
        <x:f>'Catalogo Ferramenta'!G95</x:f>
        <x:v>BATTERIE E CARICABATTERIE</x:v>
      </x:c>
      <x:c r="H95" s="12" t="n">
        <x:f>IF('Catalogo Ferramenta'!H95="",0,'Catalogo Ferramenta'!H95)</x:f>
        <x:v>33</x:v>
      </x:c>
      <x:c r="I95" s="12" t="n">
        <x:f>IF('Catalogo Ferramenta'!I95="",0,'Catalogo Ferramenta'!I95)</x:f>
        <x:v>40.3</x:v>
      </x:c>
      <x:c r="J95" s="14" t="n">
        <x:f>IF('Catalogo Ferramenta'!J95="",22,'Catalogo Ferramenta'!J95)</x:f>
        <x:v>22</x:v>
      </x:c>
      <x:c r="K95" s="14" t="n">
        <x:f>IF('Catalogo Ferramenta'!K95="",0,'Catalogo Ferramenta'!K95)</x:f>
        <x:v>0</x:v>
      </x:c>
      <x:c r="L95" s="14" t="n">
        <x:f>1</x:f>
        <x:v>1</x:v>
      </x:c>
      <x:c r="M95" t="n">
        <x:f>'Catalogo Ferramenta'!L95</x:f>
        <x:v>0</x:v>
      </x:c>
      <x:c r="N95" t="n">
        <x:f>'Catalogo Ferramenta'!M95</x:f>
        <x:v>0</x:v>
      </x:c>
      <x:c r="O95" t="str">
        <x:f>'Catalogo Ferramenta'!N95</x:f>
        <x:v>BLACK+DECKER</x:v>
      </x:c>
      <x:c r="P95" t="str">
        <x:f>'Catalogo Ferramenta'!P95</x:f>
        <x:v>Catalogo Black+Decker Lo Specialista 2026, pagina 127. Prezzi se presenti: raccomandati dal catalogo.</x:v>
      </x:c>
      <x:c r="Q95" s="14" t="n">
        <x:f>'Catalogo Ferramenta'!R95</x:f>
        <x:v>127</x:v>
      </x:c>
      <x:c r="R95" t="str">
        <x:f>'Catalogo Ferramenta'!S95</x:f>
        <x:v>B+D_CATALOGO Lo Specialista 2026.pdf</x:v>
      </x:c>
      <x:c r="S95" s="45" t="b">
        <x:f>AND(D95&lt;&gt;"",B95&lt;&gt;"")</x:f>
        <x:v>1</x:v>
      </x:c>
      <x:c r="T95" t="str">
        <x:f>TEXTJOIN("; ",TRUE,IF(D95="","manca nome",""),IF(B95="","manca barcode",""),IF(H95=0,"prezzo costo da compilare",""),IF(I95=0,"prezzo vendita da compilare",""),IF(K95=0,"quantità da compilare",""))</x:f>
        <x:v>quantità da compilare</x:v>
      </x:c>
    </x:row>
    <x:row r="96">
      <x:c r="A96" t="str">
        <x:f>'Catalogo Ferramenta'!A96</x:f>
        <x:v>BD-0095</x:v>
      </x:c>
      <x:c r="B96" t="str">
        <x:f>'Catalogo Ferramenta'!B96</x:f>
        <x:v>5035048656570</x:v>
      </x:c>
      <x:c r="C96" t="str">
        <x:f>'Catalogo Ferramenta'!C96</x:f>
        <x:v>BDC2A-QW</x:v>
      </x:c>
      <x:c r="D96" t="str">
        <x:f>'Catalogo Ferramenta'!D96</x:f>
        <x:v>Caricabatterie rapido 2A</x:v>
      </x:c>
      <x:c r="E96" t="str">
        <x:f>'Catalogo Ferramenta'!E96</x:f>
        <x:v>BLACK+DECKER</x:v>
      </x:c>
      <x:c r="F96" t="str">
        <x:f>'Catalogo Ferramenta'!F96</x:f>
        <x:v>BATTERIE E CARICABATTERIE</x:v>
      </x:c>
      <x:c r="G96" t="str">
        <x:f>'Catalogo Ferramenta'!G96</x:f>
        <x:v>BATTERIE E CARICABATTERIE</x:v>
      </x:c>
      <x:c r="H96" s="12" t="n">
        <x:f>IF('Catalogo Ferramenta'!H96="",0,'Catalogo Ferramenta'!H96)</x:f>
        <x:v>32.7</x:v>
      </x:c>
      <x:c r="I96" s="12" t="n">
        <x:f>IF('Catalogo Ferramenta'!I96="",0,'Catalogo Ferramenta'!I96)</x:f>
        <x:v>39.9</x:v>
      </x:c>
      <x:c r="J96" s="14" t="n">
        <x:f>IF('Catalogo Ferramenta'!J96="",22,'Catalogo Ferramenta'!J96)</x:f>
        <x:v>22</x:v>
      </x:c>
      <x:c r="K96" s="14" t="n">
        <x:f>IF('Catalogo Ferramenta'!K96="",0,'Catalogo Ferramenta'!K96)</x:f>
        <x:v>0</x:v>
      </x:c>
      <x:c r="L96" s="14" t="n">
        <x:f>1</x:f>
        <x:v>1</x:v>
      </x:c>
      <x:c r="M96" t="n">
        <x:f>'Catalogo Ferramenta'!L96</x:f>
        <x:v>0</x:v>
      </x:c>
      <x:c r="N96" t="n">
        <x:f>'Catalogo Ferramenta'!M96</x:f>
        <x:v>0</x:v>
      </x:c>
      <x:c r="O96" t="str">
        <x:f>'Catalogo Ferramenta'!N96</x:f>
        <x:v>BLACK+DECKER</x:v>
      </x:c>
      <x:c r="P96" t="str">
        <x:f>'Catalogo Ferramenta'!P96</x:f>
        <x:v>Catalogo Black+Decker Lo Specialista 2026, pagina 126. Prezzi se presenti: raccomandati dal catalogo.</x:v>
      </x:c>
      <x:c r="Q96" s="14" t="n">
        <x:f>'Catalogo Ferramenta'!R96</x:f>
        <x:v>126</x:v>
      </x:c>
      <x:c r="R96" t="str">
        <x:f>'Catalogo Ferramenta'!S96</x:f>
        <x:v>B+D_CATALOGO Lo Specialista 2026.pdf</x:v>
      </x:c>
      <x:c r="S96" s="45" t="b">
        <x:f>AND(D96&lt;&gt;"",B96&lt;&gt;"")</x:f>
        <x:v>1</x:v>
      </x:c>
      <x:c r="T96" t="str">
        <x:f>TEXTJOIN("; ",TRUE,IF(D96="","manca nome",""),IF(B96="","manca barcode",""),IF(H96=0,"prezzo costo da compilare",""),IF(I96=0,"prezzo vendita da compilare",""),IF(K96=0,"quantità da compilare",""))</x:f>
        <x:v>quantità da compilare</x:v>
      </x:c>
    </x:row>
    <x:row r="97">
      <x:c r="A97" t="str">
        <x:f>'Catalogo Ferramenta'!A97</x:f>
        <x:v>BD-0096</x:v>
      </x:c>
      <x:c r="B97" t="str">
        <x:f>'Catalogo Ferramenta'!B97</x:f>
        <x:v>5035048730638</x:v>
      </x:c>
      <x:c r="C97" t="str">
        <x:f>'Catalogo Ferramenta'!C97</x:f>
        <x:v>BDC2A20-QW</x:v>
      </x:c>
      <x:c r="D97" t="str">
        <x:f>'Catalogo Ferramenta'!D97</x:f>
        <x:v>Caricabatterie rapido</x:v>
      </x:c>
      <x:c r="E97" t="str">
        <x:f>'Catalogo Ferramenta'!E97</x:f>
        <x:v>BLACK+DECKER</x:v>
      </x:c>
      <x:c r="F97" t="str">
        <x:f>'Catalogo Ferramenta'!F97</x:f>
        <x:v>BATTERIE E CARICABATTERIE</x:v>
      </x:c>
      <x:c r="G97" t="str">
        <x:f>'Catalogo Ferramenta'!G97</x:f>
        <x:v>BATTERIE E CARICABATTERIE</x:v>
      </x:c>
      <x:c r="H97" s="12" t="n">
        <x:f>IF('Catalogo Ferramenta'!H97="",0,'Catalogo Ferramenta'!H97)</x:f>
        <x:v>40.9</x:v>
      </x:c>
      <x:c r="I97" s="12" t="n">
        <x:f>IF('Catalogo Ferramenta'!I97="",0,'Catalogo Ferramenta'!I97)</x:f>
        <x:v>49.9</x:v>
      </x:c>
      <x:c r="J97" s="14" t="n">
        <x:f>IF('Catalogo Ferramenta'!J97="",22,'Catalogo Ferramenta'!J97)</x:f>
        <x:v>22</x:v>
      </x:c>
      <x:c r="K97" s="14" t="n">
        <x:f>IF('Catalogo Ferramenta'!K97="",0,'Catalogo Ferramenta'!K97)</x:f>
        <x:v>0</x:v>
      </x:c>
      <x:c r="L97" s="14" t="n">
        <x:f>1</x:f>
        <x:v>1</x:v>
      </x:c>
      <x:c r="M97" t="n">
        <x:f>'Catalogo Ferramenta'!L97</x:f>
        <x:v>0</x:v>
      </x:c>
      <x:c r="N97" t="n">
        <x:f>'Catalogo Ferramenta'!M97</x:f>
        <x:v>0</x:v>
      </x:c>
      <x:c r="O97" t="str">
        <x:f>'Catalogo Ferramenta'!N97</x:f>
        <x:v>BLACK+DECKER</x:v>
      </x:c>
      <x:c r="P97" t="str">
        <x:f>'Catalogo Ferramenta'!P97</x:f>
        <x:v>Catalogo Black+Decker Lo Specialista 2026, pagina 127. Prezzi se presenti: raccomandati dal catalogo.</x:v>
      </x:c>
      <x:c r="Q97" s="14" t="n">
        <x:f>'Catalogo Ferramenta'!R97</x:f>
        <x:v>127</x:v>
      </x:c>
      <x:c r="R97" t="str">
        <x:f>'Catalogo Ferramenta'!S97</x:f>
        <x:v>B+D_CATALOGO Lo Specialista 2026.pdf</x:v>
      </x:c>
      <x:c r="S97" s="45" t="b">
        <x:f>AND(D97&lt;&gt;"",B97&lt;&gt;"")</x:f>
        <x:v>1</x:v>
      </x:c>
      <x:c r="T97" t="str">
        <x:f>TEXTJOIN("; ",TRUE,IF(D97="","manca nome",""),IF(B97="","manca barcode",""),IF(H97=0,"prezzo costo da compilare",""),IF(I97=0,"prezzo vendita da compilare",""),IF(K97=0,"quantità da compilare",""))</x:f>
        <x:v>quantità da compilare</x:v>
      </x:c>
    </x:row>
    <x:row r="98">
      <x:c r="A98" t="str">
        <x:f>'Catalogo Ferramenta'!A98</x:f>
        <x:v>BD-0097</x:v>
      </x:c>
      <x:c r="B98" t="str">
        <x:f>'Catalogo Ferramenta'!B98</x:f>
        <x:v>5035048491553</x:v>
      </x:c>
      <x:c r="C98" t="str">
        <x:f>'Catalogo Ferramenta'!C98</x:f>
        <x:v>BDC2A36-QW</x:v>
      </x:c>
      <x:c r="D98" t="str">
        <x:f>'Catalogo Ferramenta'!D98</x:f>
        <x:v>Starter kit: batteria al litio 36V 2.0Ah + caricabatterie</x:v>
      </x:c>
      <x:c r="E98" t="str">
        <x:f>'Catalogo Ferramenta'!E98</x:f>
        <x:v>BLACK+DECKER</x:v>
      </x:c>
      <x:c r="F98" t="str">
        <x:f>'Catalogo Ferramenta'!F98</x:f>
        <x:v>BATTERIE E CARICABATTERIE</x:v>
      </x:c>
      <x:c r="G98" t="str">
        <x:f>'Catalogo Ferramenta'!G98</x:f>
        <x:v>BATTERIE E CARICABATTERIE</x:v>
      </x:c>
      <x:c r="H98" s="12" t="n">
        <x:f>IF('Catalogo Ferramenta'!H98="",0,'Catalogo Ferramenta'!H98)</x:f>
        <x:v>90.1</x:v>
      </x:c>
      <x:c r="I98" s="12" t="n">
        <x:f>IF('Catalogo Ferramenta'!I98="",0,'Catalogo Ferramenta'!I98)</x:f>
        <x:v>109.9</x:v>
      </x:c>
      <x:c r="J98" s="14" t="n">
        <x:f>IF('Catalogo Ferramenta'!J98="",22,'Catalogo Ferramenta'!J98)</x:f>
        <x:v>22</x:v>
      </x:c>
      <x:c r="K98" s="14" t="n">
        <x:f>IF('Catalogo Ferramenta'!K98="",0,'Catalogo Ferramenta'!K98)</x:f>
        <x:v>0</x:v>
      </x:c>
      <x:c r="L98" s="14" t="n">
        <x:f>1</x:f>
        <x:v>1</x:v>
      </x:c>
      <x:c r="M98" t="n">
        <x:f>'Catalogo Ferramenta'!L98</x:f>
        <x:v>0</x:v>
      </x:c>
      <x:c r="N98" t="n">
        <x:f>'Catalogo Ferramenta'!M98</x:f>
        <x:v>0</x:v>
      </x:c>
      <x:c r="O98" t="str">
        <x:f>'Catalogo Ferramenta'!N98</x:f>
        <x:v>BLACK+DECKER</x:v>
      </x:c>
      <x:c r="P98" t="str">
        <x:f>'Catalogo Ferramenta'!P98</x:f>
        <x:v>Catalogo Black+Decker Lo Specialista 2026, pagina 127. Prezzi se presenti: raccomandati dal catalogo.</x:v>
      </x:c>
      <x:c r="Q98" s="14" t="n">
        <x:f>'Catalogo Ferramenta'!R98</x:f>
        <x:v>127</x:v>
      </x:c>
      <x:c r="R98" t="str">
        <x:f>'Catalogo Ferramenta'!S98</x:f>
        <x:v>B+D_CATALOGO Lo Specialista 2026.pdf</x:v>
      </x:c>
      <x:c r="S98" s="45" t="b">
        <x:f>AND(D98&lt;&gt;"",B98&lt;&gt;"")</x:f>
        <x:v>1</x:v>
      </x:c>
      <x:c r="T98" t="str">
        <x:f>TEXTJOIN("; ",TRUE,IF(D98="","manca nome",""),IF(B98="","manca barcode",""),IF(H98=0,"prezzo costo da compilare",""),IF(I98=0,"prezzo vendita da compilare",""),IF(K98=0,"quantità da compilare",""))</x:f>
        <x:v>quantità da compilare</x:v>
      </x:c>
    </x:row>
    <x:row r="99">
      <x:c r="A99" t="str">
        <x:f>'Catalogo Ferramenta'!A99</x:f>
        <x:v>BD-0098</x:v>
      </x:c>
      <x:c r="B99" t="str">
        <x:f>'Catalogo Ferramenta'!B99</x:f>
        <x:v>5035048562048</x:v>
      </x:c>
      <x:c r="C99" t="str">
        <x:f>'Catalogo Ferramenta'!C99</x:f>
        <x:v>BDCCS18N-XJ</x:v>
      </x:c>
      <x:c r="D99" t="str">
        <x:f>'Catalogo Ferramenta'!D99</x:f>
        <x:v>Sega circolare a batteria 18V (solo corpo macchina)</x:v>
      </x:c>
      <x:c r="E99" t="str">
        <x:f>'Catalogo Ferramenta'!E99</x:f>
        <x:v>BLACK+DECKER</x:v>
      </x:c>
      <x:c r="F99" t="str">
        <x:f>'Catalogo Ferramenta'!F99</x:f>
        <x:v>ELETTROUTENSILI</x:v>
      </x:c>
      <x:c r="G99" t="str">
        <x:f>'Catalogo Ferramenta'!G99</x:f>
        <x:v>UTENSILI PER TAGLIARE</x:v>
      </x:c>
      <x:c r="H99" s="12" t="n">
        <x:f>IF('Catalogo Ferramenta'!H99="",0,'Catalogo Ferramenta'!H99)</x:f>
        <x:v>0</x:v>
      </x:c>
      <x:c r="I99" s="12" t="n">
        <x:f>IF('Catalogo Ferramenta'!I99="",0,'Catalogo Ferramenta'!I99)</x:f>
        <x:v>0</x:v>
      </x:c>
      <x:c r="J99" s="14" t="n">
        <x:f>IF('Catalogo Ferramenta'!J99="",22,'Catalogo Ferramenta'!J99)</x:f>
        <x:v>22</x:v>
      </x:c>
      <x:c r="K99" s="14" t="n">
        <x:f>IF('Catalogo Ferramenta'!K99="",0,'Catalogo Ferramenta'!K99)</x:f>
        <x:v>0</x:v>
      </x:c>
      <x:c r="L99" s="14" t="n">
        <x:f>1</x:f>
        <x:v>1</x:v>
      </x:c>
      <x:c r="M99" t="n">
        <x:f>'Catalogo Ferramenta'!L99</x:f>
        <x:v>0</x:v>
      </x:c>
      <x:c r="N99" t="n">
        <x:f>'Catalogo Ferramenta'!M99</x:f>
        <x:v>0</x:v>
      </x:c>
      <x:c r="O99" t="str">
        <x:f>'Catalogo Ferramenta'!N99</x:f>
        <x:v>BLACK+DECKER</x:v>
      </x:c>
      <x:c r="P99" t="str">
        <x:f>'Catalogo Ferramenta'!P99</x:f>
        <x:v>Catalogo Black+Decker Lo Specialista 2026, pagina 37. Prezzi se presenti: raccomandati dal catalogo.</x:v>
      </x:c>
      <x:c r="Q99" s="14" t="n">
        <x:f>'Catalogo Ferramenta'!R99</x:f>
        <x:v>37</x:v>
      </x:c>
      <x:c r="R99" t="str">
        <x:f>'Catalogo Ferramenta'!S99</x:f>
        <x:v>B+D_CATALOGO Lo Specialista 2026.pdf</x:v>
      </x:c>
      <x:c r="S99" s="45" t="b">
        <x:f>AND(D99&lt;&gt;"",B99&lt;&gt;"")</x:f>
        <x:v>1</x:v>
      </x:c>
      <x:c r="T99" t="str">
        <x:f>TEXTJOIN("; ",TRUE,IF(D99="","manca nome",""),IF(B99="","manca barcode",""),IF(H99=0,"prezzo costo da compilare",""),IF(I99=0,"prezzo vendita da compilare",""),IF(K99=0,"quantità da compilare",""))</x:f>
        <x:v>prezzo costo da compilare; prezzo vendita da compilare; quantità da compilare</x:v>
      </x:c>
    </x:row>
    <x:row r="100">
      <x:c r="A100" t="str">
        <x:f>'Catalogo Ferramenta'!A100</x:f>
        <x:v>BD-0099</x:v>
      </x:c>
      <x:c r="B100" t="str">
        <x:f>'Catalogo Ferramenta'!B100</x:f>
        <x:v>5035048631706</x:v>
      </x:c>
      <x:c r="C100" t="str">
        <x:f>'Catalogo Ferramenta'!C100</x:f>
        <x:v>BDCD8-QW</x:v>
      </x:c>
      <x:c r="D100" t="str">
        <x:f>'Catalogo Ferramenta'!D100</x:f>
        <x:v>Trapano avvitatore a batteria 7.2V</x:v>
      </x:c>
      <x:c r="E100" t="str">
        <x:f>'Catalogo Ferramenta'!E100</x:f>
        <x:v>BLACK+DECKER</x:v>
      </x:c>
      <x:c r="F100" t="str">
        <x:f>'Catalogo Ferramenta'!F100</x:f>
        <x:v>ELETTROUTENSILI</x:v>
      </x:c>
      <x:c r="G100" t="str">
        <x:f>'Catalogo Ferramenta'!G100</x:f>
        <x:v>TRAPANI A BATTERIA</x:v>
      </x:c>
      <x:c r="H100" s="12" t="n">
        <x:f>IF('Catalogo Ferramenta'!H100="",0,'Catalogo Ferramenta'!H100)</x:f>
        <x:v>26.5</x:v>
      </x:c>
      <x:c r="I100" s="12" t="n">
        <x:f>IF('Catalogo Ferramenta'!I100="",0,'Catalogo Ferramenta'!I100)</x:f>
        <x:v>32.3</x:v>
      </x:c>
      <x:c r="J100" s="14" t="n">
        <x:f>IF('Catalogo Ferramenta'!J100="",22,'Catalogo Ferramenta'!J100)</x:f>
        <x:v>22</x:v>
      </x:c>
      <x:c r="K100" s="14" t="n">
        <x:f>IF('Catalogo Ferramenta'!K100="",0,'Catalogo Ferramenta'!K100)</x:f>
        <x:v>0</x:v>
      </x:c>
      <x:c r="L100" s="14" t="n">
        <x:f>1</x:f>
        <x:v>1</x:v>
      </x:c>
      <x:c r="M100" t="n">
        <x:f>'Catalogo Ferramenta'!L100</x:f>
        <x:v>0</x:v>
      </x:c>
      <x:c r="N100" t="n">
        <x:f>'Catalogo Ferramenta'!M100</x:f>
        <x:v>0</x:v>
      </x:c>
      <x:c r="O100" t="str">
        <x:f>'Catalogo Ferramenta'!N100</x:f>
        <x:v>BLACK+DECKER</x:v>
      </x:c>
      <x:c r="P100" t="str">
        <x:f>'Catalogo Ferramenta'!P100</x:f>
        <x:v>Catalogo Black+Decker Lo Specialista 2026, pagina 16. Prezzi se presenti: raccomandati dal catalogo.</x:v>
      </x:c>
      <x:c r="Q100" s="14" t="n">
        <x:f>'Catalogo Ferramenta'!R100</x:f>
        <x:v>16</x:v>
      </x:c>
      <x:c r="R100" t="str">
        <x:f>'Catalogo Ferramenta'!S100</x:f>
        <x:v>B+D_CATALOGO Lo Specialista 2026.pdf</x:v>
      </x:c>
      <x:c r="S100" s="45" t="b">
        <x:f>AND(D100&lt;&gt;"",B100&lt;&gt;"")</x:f>
        <x:v>1</x:v>
      </x:c>
      <x:c r="T100" t="str">
        <x:f>TEXTJOIN("; ",TRUE,IF(D100="","manca nome",""),IF(B100="","manca barcode",""),IF(H100=0,"prezzo costo da compilare",""),IF(I100=0,"prezzo vendita da compilare",""),IF(K100=0,"quantità da compilare",""))</x:f>
        <x:v>quantità da compilare</x:v>
      </x:c>
    </x:row>
    <x:row r="101">
      <x:c r="A101" t="str">
        <x:f>'Catalogo Ferramenta'!A101</x:f>
        <x:v>BD-0100</x:v>
      </x:c>
      <x:c r="B101" t="str">
        <x:f>'Catalogo Ferramenta'!B101</x:f>
        <x:v>5035048631812</x:v>
      </x:c>
      <x:c r="C101" t="str">
        <x:f>'Catalogo Ferramenta'!C101</x:f>
        <x:v>BDCDD12-QW</x:v>
      </x:c>
      <x:c r="D101" t="str">
        <x:f>'Catalogo Ferramenta'!D101</x:f>
        <x:v>Trapano avvitatore a batteria 10.8V</x:v>
      </x:c>
      <x:c r="E101" t="str">
        <x:f>'Catalogo Ferramenta'!E101</x:f>
        <x:v>BLACK+DECKER</x:v>
      </x:c>
      <x:c r="F101" t="str">
        <x:f>'Catalogo Ferramenta'!F101</x:f>
        <x:v>ELETTROUTENSILI</x:v>
      </x:c>
      <x:c r="G101" t="str">
        <x:f>'Catalogo Ferramenta'!G101</x:f>
        <x:v>TRAPANI A BATTERIA</x:v>
      </x:c>
      <x:c r="H101" s="12" t="n">
        <x:f>IF('Catalogo Ferramenta'!H101="",0,'Catalogo Ferramenta'!H101)</x:f>
        <x:v>40.9</x:v>
      </x:c>
      <x:c r="I101" s="12" t="n">
        <x:f>IF('Catalogo Ferramenta'!I101="",0,'Catalogo Ferramenta'!I101)</x:f>
        <x:v>49.9</x:v>
      </x:c>
      <x:c r="J101" s="14" t="n">
        <x:f>IF('Catalogo Ferramenta'!J101="",22,'Catalogo Ferramenta'!J101)</x:f>
        <x:v>22</x:v>
      </x:c>
      <x:c r="K101" s="14" t="n">
        <x:f>IF('Catalogo Ferramenta'!K101="",0,'Catalogo Ferramenta'!K101)</x:f>
        <x:v>0</x:v>
      </x:c>
      <x:c r="L101" s="14" t="n">
        <x:f>1</x:f>
        <x:v>1</x:v>
      </x:c>
      <x:c r="M101" t="n">
        <x:f>'Catalogo Ferramenta'!L101</x:f>
        <x:v>0</x:v>
      </x:c>
      <x:c r="N101" t="n">
        <x:f>'Catalogo Ferramenta'!M101</x:f>
        <x:v>0</x:v>
      </x:c>
      <x:c r="O101" t="str">
        <x:f>'Catalogo Ferramenta'!N101</x:f>
        <x:v>BLACK+DECKER</x:v>
      </x:c>
      <x:c r="P101" t="str">
        <x:f>'Catalogo Ferramenta'!P101</x:f>
        <x:v>Catalogo Black+Decker Lo Specialista 2026, pagina 16. Prezzi se presenti: raccomandati dal catalogo.</x:v>
      </x:c>
      <x:c r="Q101" s="14" t="n">
        <x:f>'Catalogo Ferramenta'!R101</x:f>
        <x:v>16</x:v>
      </x:c>
      <x:c r="R101" t="str">
        <x:f>'Catalogo Ferramenta'!S101</x:f>
        <x:v>B+D_CATALOGO Lo Specialista 2026.pdf</x:v>
      </x:c>
      <x:c r="S101" s="45" t="b">
        <x:f>AND(D101&lt;&gt;"",B101&lt;&gt;"")</x:f>
        <x:v>1</x:v>
      </x:c>
      <x:c r="T101" t="str">
        <x:f>TEXTJOIN("; ",TRUE,IF(D101="","manca nome",""),IF(B101="","manca barcode",""),IF(H101=0,"prezzo costo da compilare",""),IF(I101=0,"prezzo vendita da compilare",""),IF(K101=0,"quantità da compilare",""))</x:f>
        <x:v>quantità da compilare</x:v>
      </x:c>
    </x:row>
    <x:row r="102">
      <x:c r="A102" t="str">
        <x:f>'Catalogo Ferramenta'!A102</x:f>
        <x:v>BD-0101</x:v>
      </x:c>
      <x:c r="B102" t="str">
        <x:f>'Catalogo Ferramenta'!B102</x:f>
        <x:v>5035048631850</x:v>
      </x:c>
      <x:c r="C102" t="str">
        <x:f>'Catalogo Ferramenta'!C102</x:f>
        <x:v>BDCDD12K-QW</x:v>
      </x:c>
      <x:c r="D102" t="str">
        <x:f>'Catalogo Ferramenta'!D102</x:f>
        <x:v>Trapano avvitatore a batteria 10.8V in valigetta</x:v>
      </x:c>
      <x:c r="E102" t="str">
        <x:f>'Catalogo Ferramenta'!E102</x:f>
        <x:v>BLACK+DECKER</x:v>
      </x:c>
      <x:c r="F102" t="str">
        <x:f>'Catalogo Ferramenta'!F102</x:f>
        <x:v>ELETTROUTENSILI</x:v>
      </x:c>
      <x:c r="G102" t="str">
        <x:f>'Catalogo Ferramenta'!G102</x:f>
        <x:v>TRAPANI A BATTERIA</x:v>
      </x:c>
      <x:c r="H102" s="12" t="n">
        <x:f>IF('Catalogo Ferramenta'!H102="",0,'Catalogo Ferramenta'!H102)</x:f>
        <x:v>49.1</x:v>
      </x:c>
      <x:c r="I102" s="12" t="n">
        <x:f>IF('Catalogo Ferramenta'!I102="",0,'Catalogo Ferramenta'!I102)</x:f>
        <x:v>59.9</x:v>
      </x:c>
      <x:c r="J102" s="14" t="n">
        <x:f>IF('Catalogo Ferramenta'!J102="",22,'Catalogo Ferramenta'!J102)</x:f>
        <x:v>22</x:v>
      </x:c>
      <x:c r="K102" s="14" t="n">
        <x:f>IF('Catalogo Ferramenta'!K102="",0,'Catalogo Ferramenta'!K102)</x:f>
        <x:v>0</x:v>
      </x:c>
      <x:c r="L102" s="14" t="n">
        <x:f>1</x:f>
        <x:v>1</x:v>
      </x:c>
      <x:c r="M102" t="n">
        <x:f>'Catalogo Ferramenta'!L102</x:f>
        <x:v>0</x:v>
      </x:c>
      <x:c r="N102" t="n">
        <x:f>'Catalogo Ferramenta'!M102</x:f>
        <x:v>0</x:v>
      </x:c>
      <x:c r="O102" t="str">
        <x:f>'Catalogo Ferramenta'!N102</x:f>
        <x:v>BLACK+DECKER</x:v>
      </x:c>
      <x:c r="P102" t="str">
        <x:f>'Catalogo Ferramenta'!P102</x:f>
        <x:v>Catalogo Black+Decker Lo Specialista 2026, pagina 16. Prezzi se presenti: raccomandati dal catalogo.</x:v>
      </x:c>
      <x:c r="Q102" s="14" t="n">
        <x:f>'Catalogo Ferramenta'!R102</x:f>
        <x:v>16</x:v>
      </x:c>
      <x:c r="R102" t="str">
        <x:f>'Catalogo Ferramenta'!S102</x:f>
        <x:v>B+D_CATALOGO Lo Specialista 2026.pdf</x:v>
      </x:c>
      <x:c r="S102" s="45" t="b">
        <x:f>AND(D102&lt;&gt;"",B102&lt;&gt;"")</x:f>
        <x:v>1</x:v>
      </x:c>
      <x:c r="T102" t="str">
        <x:f>TEXTJOIN("; ",TRUE,IF(D102="","manca nome",""),IF(B102="","manca barcode",""),IF(H102=0,"prezzo costo da compilare",""),IF(I102=0,"prezzo vendita da compilare",""),IF(K102=0,"quantità da compilare",""))</x:f>
        <x:v>quantità da compilare</x:v>
      </x:c>
    </x:row>
    <x:row r="103">
      <x:c r="A103" t="str">
        <x:f>'Catalogo Ferramenta'!A103</x:f>
        <x:v>BD-0102</x:v>
      </x:c>
      <x:c r="B103" t="str">
        <x:f>'Catalogo Ferramenta'!B103</x:f>
        <x:v>5035048631966</x:v>
      </x:c>
      <x:c r="C103" t="str">
        <x:f>'Catalogo Ferramenta'!C103</x:f>
        <x:v>BDCDD12KB-QW</x:v>
      </x:c>
      <x:c r="D103" t="str">
        <x:f>'Catalogo Ferramenta'!D103</x:f>
        <x:v>Trapano avvitatore con doppia batteria 10.8V in valigetta</x:v>
      </x:c>
      <x:c r="E103" t="str">
        <x:f>'Catalogo Ferramenta'!E103</x:f>
        <x:v>BLACK+DECKER</x:v>
      </x:c>
      <x:c r="F103" t="str">
        <x:f>'Catalogo Ferramenta'!F103</x:f>
        <x:v>ELETTROUTENSILI</x:v>
      </x:c>
      <x:c r="G103" t="str">
        <x:f>'Catalogo Ferramenta'!G103</x:f>
        <x:v>TRAPANI A BATTERIA</x:v>
      </x:c>
      <x:c r="H103" s="12" t="n">
        <x:f>IF('Catalogo Ferramenta'!H103="",0,'Catalogo Ferramenta'!H103)</x:f>
        <x:v>65.5</x:v>
      </x:c>
      <x:c r="I103" s="12" t="n">
        <x:f>IF('Catalogo Ferramenta'!I103="",0,'Catalogo Ferramenta'!I103)</x:f>
        <x:v>79.9</x:v>
      </x:c>
      <x:c r="J103" s="14" t="n">
        <x:f>IF('Catalogo Ferramenta'!J103="",22,'Catalogo Ferramenta'!J103)</x:f>
        <x:v>22</x:v>
      </x:c>
      <x:c r="K103" s="14" t="n">
        <x:f>IF('Catalogo Ferramenta'!K103="",0,'Catalogo Ferramenta'!K103)</x:f>
        <x:v>0</x:v>
      </x:c>
      <x:c r="L103" s="14" t="n">
        <x:f>1</x:f>
        <x:v>1</x:v>
      </x:c>
      <x:c r="M103" t="n">
        <x:f>'Catalogo Ferramenta'!L103</x:f>
        <x:v>0</x:v>
      </x:c>
      <x:c r="N103" t="n">
        <x:f>'Catalogo Ferramenta'!M103</x:f>
        <x:v>0</x:v>
      </x:c>
      <x:c r="O103" t="str">
        <x:f>'Catalogo Ferramenta'!N103</x:f>
        <x:v>BLACK+DECKER</x:v>
      </x:c>
      <x:c r="P103" t="str">
        <x:f>'Catalogo Ferramenta'!P103</x:f>
        <x:v>Catalogo Black+Decker Lo Specialista 2026, pagina 16. Prezzi se presenti: raccomandati dal catalogo.</x:v>
      </x:c>
      <x:c r="Q103" s="14" t="n">
        <x:f>'Catalogo Ferramenta'!R103</x:f>
        <x:v>16</x:v>
      </x:c>
      <x:c r="R103" t="str">
        <x:f>'Catalogo Ferramenta'!S103</x:f>
        <x:v>B+D_CATALOGO Lo Specialista 2026.pdf</x:v>
      </x:c>
      <x:c r="S103" s="45" t="b">
        <x:f>AND(D103&lt;&gt;"",B103&lt;&gt;"")</x:f>
        <x:v>1</x:v>
      </x:c>
      <x:c r="T103" t="str">
        <x:f>TEXTJOIN("; ",TRUE,IF(D103="","manca nome",""),IF(B103="","manca barcode",""),IF(H103=0,"prezzo costo da compilare",""),IF(I103=0,"prezzo vendita da compilare",""),IF(K103=0,"quantità da compilare",""))</x:f>
        <x:v>quantità da compilare</x:v>
      </x:c>
    </x:row>
    <x:row r="104">
      <x:c r="A104" t="str">
        <x:f>'Catalogo Ferramenta'!A104</x:f>
        <x:v>BD-0103</x:v>
      </x:c>
      <x:c r="B104" t="str">
        <x:f>'Catalogo Ferramenta'!B104</x:f>
        <x:v>5035048709481</x:v>
      </x:c>
      <x:c r="C104" t="str">
        <x:f>'Catalogo Ferramenta'!C104</x:f>
        <x:v>BDCDD12S1-QW</x:v>
      </x:c>
      <x:c r="D104" t="str">
        <x:f>'Catalogo Ferramenta'!D104</x:f>
        <x:v>Trapano avvitatore a batteria 12V</x:v>
      </x:c>
      <x:c r="E104" t="str">
        <x:f>'Catalogo Ferramenta'!E104</x:f>
        <x:v>BLACK+DECKER</x:v>
      </x:c>
      <x:c r="F104" t="str">
        <x:f>'Catalogo Ferramenta'!F104</x:f>
        <x:v>ELETTROUTENSILI</x:v>
      </x:c>
      <x:c r="G104" t="str">
        <x:f>'Catalogo Ferramenta'!G104</x:f>
        <x:v>TRAPANI A BATTERIA</x:v>
      </x:c>
      <x:c r="H104" s="12" t="n">
        <x:f>IF('Catalogo Ferramenta'!H104="",0,'Catalogo Ferramenta'!H104)</x:f>
        <x:v>53.2</x:v>
      </x:c>
      <x:c r="I104" s="12" t="n">
        <x:f>IF('Catalogo Ferramenta'!I104="",0,'Catalogo Ferramenta'!I104)</x:f>
        <x:v>64.9</x:v>
      </x:c>
      <x:c r="J104" s="14" t="n">
        <x:f>IF('Catalogo Ferramenta'!J104="",22,'Catalogo Ferramenta'!J104)</x:f>
        <x:v>22</x:v>
      </x:c>
      <x:c r="K104" s="14" t="n">
        <x:f>IF('Catalogo Ferramenta'!K104="",0,'Catalogo Ferramenta'!K104)</x:f>
        <x:v>0</x:v>
      </x:c>
      <x:c r="L104" s="14" t="n">
        <x:f>1</x:f>
        <x:v>1</x:v>
      </x:c>
      <x:c r="M104" t="n">
        <x:f>'Catalogo Ferramenta'!L104</x:f>
        <x:v>0</x:v>
      </x:c>
      <x:c r="N104" t="n">
        <x:f>'Catalogo Ferramenta'!M104</x:f>
        <x:v>0</x:v>
      </x:c>
      <x:c r="O104" t="str">
        <x:f>'Catalogo Ferramenta'!N104</x:f>
        <x:v>BLACK+DECKER</x:v>
      </x:c>
      <x:c r="P104" t="str">
        <x:f>'Catalogo Ferramenta'!P104</x:f>
        <x:v>Catalogo Black+Decker Lo Specialista 2026, pagina 17. Prezzi se presenti: raccomandati dal catalogo.</x:v>
      </x:c>
      <x:c r="Q104" s="14" t="n">
        <x:f>'Catalogo Ferramenta'!R104</x:f>
        <x:v>17</x:v>
      </x:c>
      <x:c r="R104" t="str">
        <x:f>'Catalogo Ferramenta'!S104</x:f>
        <x:v>B+D_CATALOGO Lo Specialista 2026.pdf</x:v>
      </x:c>
      <x:c r="S104" s="45" t="b">
        <x:f>AND(D104&lt;&gt;"",B104&lt;&gt;"")</x:f>
        <x:v>1</x:v>
      </x:c>
      <x:c r="T104" t="str">
        <x:f>TEXTJOIN("; ",TRUE,IF(D104="","manca nome",""),IF(B104="","manca barcode",""),IF(H104=0,"prezzo costo da compilare",""),IF(I104=0,"prezzo vendita da compilare",""),IF(K104=0,"quantità da compilare",""))</x:f>
        <x:v>quantità da compilare</x:v>
      </x:c>
    </x:row>
    <x:row r="105">
      <x:c r="A105" t="str">
        <x:f>'Catalogo Ferramenta'!A105</x:f>
        <x:v>BD-0104</x:v>
      </x:c>
      <x:c r="B105" t="str">
        <x:f>'Catalogo Ferramenta'!B105</x:f>
        <x:v>5035048562062</x:v>
      </x:c>
      <x:c r="C105" t="str">
        <x:f>'Catalogo Ferramenta'!C105</x:f>
        <x:v>BDCDD18N-XJ</x:v>
      </x:c>
      <x:c r="D105" t="str">
        <x:f>'Catalogo Ferramenta'!D105</x:f>
        <x:v>Trapano avvitatore a batteria 18V (solo corpo macchina)</x:v>
      </x:c>
      <x:c r="E105" t="str">
        <x:f>'Catalogo Ferramenta'!E105</x:f>
        <x:v>BLACK+DECKER</x:v>
      </x:c>
      <x:c r="F105" t="str">
        <x:f>'Catalogo Ferramenta'!F105</x:f>
        <x:v>ELETTROUTENSILI</x:v>
      </x:c>
      <x:c r="G105" t="str">
        <x:f>'Catalogo Ferramenta'!G105</x:f>
        <x:v>TRAPANI A BATTERIA</x:v>
      </x:c>
      <x:c r="H105" s="12" t="n">
        <x:f>IF('Catalogo Ferramenta'!H105="",0,'Catalogo Ferramenta'!H105)</x:f>
        <x:v>32.7</x:v>
      </x:c>
      <x:c r="I105" s="12" t="n">
        <x:f>IF('Catalogo Ferramenta'!I105="",0,'Catalogo Ferramenta'!I105)</x:f>
        <x:v>39.9</x:v>
      </x:c>
      <x:c r="J105" s="14" t="n">
        <x:f>IF('Catalogo Ferramenta'!J105="",22,'Catalogo Ferramenta'!J105)</x:f>
        <x:v>22</x:v>
      </x:c>
      <x:c r="K105" s="14" t="n">
        <x:f>IF('Catalogo Ferramenta'!K105="",0,'Catalogo Ferramenta'!K105)</x:f>
        <x:v>0</x:v>
      </x:c>
      <x:c r="L105" s="14" t="n">
        <x:f>1</x:f>
        <x:v>1</x:v>
      </x:c>
      <x:c r="M105" t="n">
        <x:f>'Catalogo Ferramenta'!L105</x:f>
        <x:v>0</x:v>
      </x:c>
      <x:c r="N105" t="n">
        <x:f>'Catalogo Ferramenta'!M105</x:f>
        <x:v>0</x:v>
      </x:c>
      <x:c r="O105" t="str">
        <x:f>'Catalogo Ferramenta'!N105</x:f>
        <x:v>BLACK+DECKER</x:v>
      </x:c>
      <x:c r="P105" t="str">
        <x:f>'Catalogo Ferramenta'!P105</x:f>
        <x:v>Catalogo Black+Decker Lo Specialista 2026, pagina 18. Prezzi se presenti: raccomandati dal catalogo.</x:v>
      </x:c>
      <x:c r="Q105" s="14" t="n">
        <x:f>'Catalogo Ferramenta'!R105</x:f>
        <x:v>18</x:v>
      </x:c>
      <x:c r="R105" t="str">
        <x:f>'Catalogo Ferramenta'!S105</x:f>
        <x:v>B+D_CATALOGO Lo Specialista 2026.pdf</x:v>
      </x:c>
      <x:c r="S105" s="45" t="b">
        <x:f>AND(D105&lt;&gt;"",B105&lt;&gt;"")</x:f>
        <x:v>1</x:v>
      </x:c>
      <x:c r="T105" t="str">
        <x:f>TEXTJOIN("; ",TRUE,IF(D105="","manca nome",""),IF(B105="","manca barcode",""),IF(H105=0,"prezzo costo da compilare",""),IF(I105=0,"prezzo vendita da compilare",""),IF(K105=0,"quantità da compilare",""))</x:f>
        <x:v>quantità da compilare</x:v>
      </x:c>
    </x:row>
    <x:row r="106">
      <x:c r="A106" t="str">
        <x:f>'Catalogo Ferramenta'!A106</x:f>
        <x:v>BD-0105</x:v>
      </x:c>
      <x:c r="B106" t="str">
        <x:f>'Catalogo Ferramenta'!B106</x:f>
        <x:v>5035048655375</x:v>
      </x:c>
      <x:c r="C106" t="str">
        <x:f>'Catalogo Ferramenta'!C106</x:f>
        <x:v>BDCDS18-QW</x:v>
      </x:c>
      <x:c r="D106" t="str">
        <x:f>'Catalogo Ferramenta'!D106</x:f>
        <x:v>Levigatrice Mouse® con softbag</x:v>
      </x:c>
      <x:c r="E106" t="str">
        <x:f>'Catalogo Ferramenta'!E106</x:f>
        <x:v>BLACK+DECKER</x:v>
      </x:c>
      <x:c r="F106" t="str">
        <x:f>'Catalogo Ferramenta'!F106</x:f>
        <x:v>ELETTROUTENSILI</x:v>
      </x:c>
      <x:c r="G106" t="str">
        <x:f>'Catalogo Ferramenta'!G106</x:f>
        <x:v>LEVIGATRICI</x:v>
      </x:c>
      <x:c r="H106" s="12" t="n">
        <x:f>IF('Catalogo Ferramenta'!H106="",0,'Catalogo Ferramenta'!H106)</x:f>
        <x:v>73.7</x:v>
      </x:c>
      <x:c r="I106" s="12" t="n">
        <x:f>IF('Catalogo Ferramenta'!I106="",0,'Catalogo Ferramenta'!I106)</x:f>
        <x:v>89.9</x:v>
      </x:c>
      <x:c r="J106" s="14" t="n">
        <x:f>IF('Catalogo Ferramenta'!J106="",22,'Catalogo Ferramenta'!J106)</x:f>
        <x:v>22</x:v>
      </x:c>
      <x:c r="K106" s="14" t="n">
        <x:f>IF('Catalogo Ferramenta'!K106="",0,'Catalogo Ferramenta'!K106)</x:f>
        <x:v>0</x:v>
      </x:c>
      <x:c r="L106" s="14" t="n">
        <x:f>1</x:f>
        <x:v>1</x:v>
      </x:c>
      <x:c r="M106" t="n">
        <x:f>'Catalogo Ferramenta'!L106</x:f>
        <x:v>0</x:v>
      </x:c>
      <x:c r="N106" t="n">
        <x:f>'Catalogo Ferramenta'!M106</x:f>
        <x:v>0</x:v>
      </x:c>
      <x:c r="O106" t="str">
        <x:f>'Catalogo Ferramenta'!N106</x:f>
        <x:v>BLACK+DECKER</x:v>
      </x:c>
      <x:c r="P106" t="str">
        <x:f>'Catalogo Ferramenta'!P106</x:f>
        <x:v>Catalogo Black+Decker Lo Specialista 2026, pagina 43. Prezzi se presenti: raccomandati dal catalogo.</x:v>
      </x:c>
      <x:c r="Q106" s="14" t="n">
        <x:f>'Catalogo Ferramenta'!R106</x:f>
        <x:v>43</x:v>
      </x:c>
      <x:c r="R106" t="str">
        <x:f>'Catalogo Ferramenta'!S106</x:f>
        <x:v>B+D_CATALOGO Lo Specialista 2026.pdf</x:v>
      </x:c>
      <x:c r="S106" s="45" t="b">
        <x:f>AND(D106&lt;&gt;"",B106&lt;&gt;"")</x:f>
        <x:v>1</x:v>
      </x:c>
      <x:c r="T106" t="str">
        <x:f>TEXTJOIN("; ",TRUE,IF(D106="","manca nome",""),IF(B106="","manca barcode",""),IF(H106=0,"prezzo costo da compilare",""),IF(I106=0,"prezzo vendita da compilare",""),IF(K106=0,"quantità da compilare",""))</x:f>
        <x:v>quantità da compilare</x:v>
      </x:c>
    </x:row>
    <x:row r="107">
      <x:c r="A107" t="str">
        <x:f>'Catalogo Ferramenta'!A107</x:f>
        <x:v>BD-0106</x:v>
      </x:c>
      <x:c r="B107" t="str">
        <x:f>'Catalogo Ferramenta'!B107</x:f>
        <x:v>5035048655351</x:v>
      </x:c>
      <x:c r="C107" t="str">
        <x:f>'Catalogo Ferramenta'!C107</x:f>
        <x:v>BDCDS18N-XJ</x:v>
      </x:c>
      <x:c r="D107" t="str">
        <x:f>'Catalogo Ferramenta'!D107</x:f>
        <x:v>Levigatrice Mouse® (solo corpo macchina)</x:v>
      </x:c>
      <x:c r="E107" t="str">
        <x:f>'Catalogo Ferramenta'!E107</x:f>
        <x:v>BLACK+DECKER</x:v>
      </x:c>
      <x:c r="F107" t="str">
        <x:f>'Catalogo Ferramenta'!F107</x:f>
        <x:v>ELETTROUTENSILI</x:v>
      </x:c>
      <x:c r="G107" t="str">
        <x:f>'Catalogo Ferramenta'!G107</x:f>
        <x:v>LEVIGATRICI</x:v>
      </x:c>
      <x:c r="H107" s="12" t="n">
        <x:f>IF('Catalogo Ferramenta'!H107="",0,'Catalogo Ferramenta'!H107)</x:f>
        <x:v>45</x:v>
      </x:c>
      <x:c r="I107" s="12" t="n">
        <x:f>IF('Catalogo Ferramenta'!I107="",0,'Catalogo Ferramenta'!I107)</x:f>
        <x:v>54.9</x:v>
      </x:c>
      <x:c r="J107" s="14" t="n">
        <x:f>IF('Catalogo Ferramenta'!J107="",22,'Catalogo Ferramenta'!J107)</x:f>
        <x:v>22</x:v>
      </x:c>
      <x:c r="K107" s="14" t="n">
        <x:f>IF('Catalogo Ferramenta'!K107="",0,'Catalogo Ferramenta'!K107)</x:f>
        <x:v>0</x:v>
      </x:c>
      <x:c r="L107" s="14" t="n">
        <x:f>1</x:f>
        <x:v>1</x:v>
      </x:c>
      <x:c r="M107" t="n">
        <x:f>'Catalogo Ferramenta'!L107</x:f>
        <x:v>0</x:v>
      </x:c>
      <x:c r="N107" t="n">
        <x:f>'Catalogo Ferramenta'!M107</x:f>
        <x:v>0</x:v>
      </x:c>
      <x:c r="O107" t="str">
        <x:f>'Catalogo Ferramenta'!N107</x:f>
        <x:v>BLACK+DECKER</x:v>
      </x:c>
      <x:c r="P107" t="str">
        <x:f>'Catalogo Ferramenta'!P107</x:f>
        <x:v>Catalogo Black+Decker Lo Specialista 2026, pagina 43. Prezzi se presenti: raccomandati dal catalogo.</x:v>
      </x:c>
      <x:c r="Q107" s="14" t="n">
        <x:f>'Catalogo Ferramenta'!R107</x:f>
        <x:v>43</x:v>
      </x:c>
      <x:c r="R107" t="str">
        <x:f>'Catalogo Ferramenta'!S107</x:f>
        <x:v>B+D_CATALOGO Lo Specialista 2026.pdf</x:v>
      </x:c>
      <x:c r="S107" s="45" t="b">
        <x:f>AND(D107&lt;&gt;"",B107&lt;&gt;"")</x:f>
        <x:v>1</x:v>
      </x:c>
      <x:c r="T107" t="str">
        <x:f>TEXTJOIN("; ",TRUE,IF(D107="","manca nome",""),IF(B107="","manca barcode",""),IF(H107=0,"prezzo costo da compilare",""),IF(I107=0,"prezzo vendita da compilare",""),IF(K107=0,"quantità da compilare",""))</x:f>
        <x:v>quantità da compilare</x:v>
      </x:c>
    </x:row>
    <x:row r="108">
      <x:c r="A108" t="str">
        <x:f>'Catalogo Ferramenta'!A108</x:f>
        <x:v>BD-0107</x:v>
      </x:c>
      <x:c r="B108" t="str">
        <x:f>'Catalogo Ferramenta'!B108</x:f>
        <x:v>5054905240264</x:v>
      </x:c>
      <x:c r="C108" t="str">
        <x:f>'Catalogo Ferramenta'!C108</x:f>
        <x:v>BDCHD12S1-QW</x:v>
      </x:c>
      <x:c r="D108" t="str">
        <x:f>'Catalogo Ferramenta'!D108</x:f>
        <x:v>Trapano avvitatore a percussione a batteria 12V</x:v>
      </x:c>
      <x:c r="E108" t="str">
        <x:f>'Catalogo Ferramenta'!E108</x:f>
        <x:v>BLACK+DECKER</x:v>
      </x:c>
      <x:c r="F108" t="str">
        <x:f>'Catalogo Ferramenta'!F108</x:f>
        <x:v>ELETTROUTENSILI</x:v>
      </x:c>
      <x:c r="G108" t="str">
        <x:f>'Catalogo Ferramenta'!G108</x:f>
        <x:v>TRAPANI A BATTERIA</x:v>
      </x:c>
      <x:c r="H108" s="12" t="n">
        <x:f>IF('Catalogo Ferramenta'!H108="",0,'Catalogo Ferramenta'!H108)</x:f>
        <x:v>65.5</x:v>
      </x:c>
      <x:c r="I108" s="12" t="n">
        <x:f>IF('Catalogo Ferramenta'!I108="",0,'Catalogo Ferramenta'!I108)</x:f>
        <x:v>79.9</x:v>
      </x:c>
      <x:c r="J108" s="14" t="n">
        <x:f>IF('Catalogo Ferramenta'!J108="",22,'Catalogo Ferramenta'!J108)</x:f>
        <x:v>22</x:v>
      </x:c>
      <x:c r="K108" s="14" t="n">
        <x:f>IF('Catalogo Ferramenta'!K108="",0,'Catalogo Ferramenta'!K108)</x:f>
        <x:v>0</x:v>
      </x:c>
      <x:c r="L108" s="14" t="n">
        <x:f>1</x:f>
        <x:v>1</x:v>
      </x:c>
      <x:c r="M108" t="n">
        <x:f>'Catalogo Ferramenta'!L108</x:f>
        <x:v>0</x:v>
      </x:c>
      <x:c r="N108" t="n">
        <x:f>'Catalogo Ferramenta'!M108</x:f>
        <x:v>0</x:v>
      </x:c>
      <x:c r="O108" t="str">
        <x:f>'Catalogo Ferramenta'!N108</x:f>
        <x:v>BLACK+DECKER</x:v>
      </x:c>
      <x:c r="P108" t="str">
        <x:f>'Catalogo Ferramenta'!P108</x:f>
        <x:v>Catalogo Black+Decker Lo Specialista 2026, pagina 17. Prezzi se presenti: raccomandati dal catalogo.</x:v>
      </x:c>
      <x:c r="Q108" s="14" t="n">
        <x:f>'Catalogo Ferramenta'!R108</x:f>
        <x:v>17</x:v>
      </x:c>
      <x:c r="R108" t="str">
        <x:f>'Catalogo Ferramenta'!S108</x:f>
        <x:v>B+D_CATALOGO Lo Specialista 2026.pdf</x:v>
      </x:c>
      <x:c r="S108" s="45" t="b">
        <x:f>AND(D108&lt;&gt;"",B108&lt;&gt;"")</x:f>
        <x:v>1</x:v>
      </x:c>
      <x:c r="T108" t="str">
        <x:f>TEXTJOIN("; ",TRUE,IF(D108="","manca nome",""),IF(B108="","manca barcode",""),IF(H108=0,"prezzo costo da compilare",""),IF(I108=0,"prezzo vendita da compilare",""),IF(K108=0,"quantità da compilare",""))</x:f>
        <x:v>quantità da compilare</x:v>
      </x:c>
    </x:row>
    <x:row r="109">
      <x:c r="A109" t="str">
        <x:f>'Catalogo Ferramenta'!A109</x:f>
        <x:v>BD-0108</x:v>
      </x:c>
      <x:c r="B109" t="str">
        <x:f>'Catalogo Ferramenta'!B109</x:f>
        <x:v>5035048832752</x:v>
      </x:c>
      <x:c r="C109" t="str">
        <x:f>'Catalogo Ferramenta'!C109</x:f>
        <x:v>BDCIM18D1A-QW</x:v>
      </x:c>
      <x:c r="D109" t="str">
        <x:f>'Catalogo Ferramenta'!D109</x:f>
        <x:v>Avvitatore a impulsi 18V</x:v>
      </x:c>
      <x:c r="E109" t="str">
        <x:f>'Catalogo Ferramenta'!E109</x:f>
        <x:v>BLACK+DECKER</x:v>
      </x:c>
      <x:c r="F109" t="str">
        <x:f>'Catalogo Ferramenta'!F109</x:f>
        <x:v>ELETTROUTENSILI</x:v>
      </x:c>
      <x:c r="G109" t="str">
        <x:f>'Catalogo Ferramenta'!G109</x:f>
        <x:v>TRAPANI A BATTERIA</x:v>
      </x:c>
      <x:c r="H109" s="12" t="n">
        <x:f>IF('Catalogo Ferramenta'!H109="",0,'Catalogo Ferramenta'!H109)</x:f>
        <x:v>73.9</x:v>
      </x:c>
      <x:c r="I109" s="12" t="n">
        <x:f>IF('Catalogo Ferramenta'!I109="",0,'Catalogo Ferramenta'!I109)</x:f>
        <x:v>90.2</x:v>
      </x:c>
      <x:c r="J109" s="14" t="n">
        <x:f>IF('Catalogo Ferramenta'!J109="",22,'Catalogo Ferramenta'!J109)</x:f>
        <x:v>22</x:v>
      </x:c>
      <x:c r="K109" s="14" t="n">
        <x:f>IF('Catalogo Ferramenta'!K109="",0,'Catalogo Ferramenta'!K109)</x:f>
        <x:v>0</x:v>
      </x:c>
      <x:c r="L109" s="14" t="n">
        <x:f>1</x:f>
        <x:v>1</x:v>
      </x:c>
      <x:c r="M109" t="n">
        <x:f>'Catalogo Ferramenta'!L109</x:f>
        <x:v>0</x:v>
      </x:c>
      <x:c r="N109" t="n">
        <x:f>'Catalogo Ferramenta'!M109</x:f>
        <x:v>0</x:v>
      </x:c>
      <x:c r="O109" t="str">
        <x:f>'Catalogo Ferramenta'!N109</x:f>
        <x:v>BLACK+DECKER</x:v>
      </x:c>
      <x:c r="P109" t="str">
        <x:f>'Catalogo Ferramenta'!P109</x:f>
        <x:v>Catalogo Black+Decker Lo Specialista 2026, pagina 20. Prezzi se presenti: raccomandati dal catalogo.</x:v>
      </x:c>
      <x:c r="Q109" s="14" t="n">
        <x:f>'Catalogo Ferramenta'!R109</x:f>
        <x:v>20</x:v>
      </x:c>
      <x:c r="R109" t="str">
        <x:f>'Catalogo Ferramenta'!S109</x:f>
        <x:v>B+D_CATALOGO Lo Specialista 2026.pdf</x:v>
      </x:c>
      <x:c r="S109" s="45" t="b">
        <x:f>AND(D109&lt;&gt;"",B109&lt;&gt;"")</x:f>
        <x:v>1</x:v>
      </x:c>
      <x:c r="T109" t="str">
        <x:f>TEXTJOIN("; ",TRUE,IF(D109="","manca nome",""),IF(B109="","manca barcode",""),IF(H109=0,"prezzo costo da compilare",""),IF(I109=0,"prezzo vendita da compilare",""),IF(K109=0,"quantità da compilare",""))</x:f>
        <x:v>quantità da compilare</x:v>
      </x:c>
    </x:row>
    <x:row r="110">
      <x:c r="A110" t="str">
        <x:f>'Catalogo Ferramenta'!A110</x:f>
        <x:v>BD-0109</x:v>
      </x:c>
      <x:c r="B110" t="str">
        <x:f>'Catalogo Ferramenta'!B110</x:f>
        <x:v>5035048560389</x:v>
      </x:c>
      <x:c r="C110" t="str">
        <x:f>'Catalogo Ferramenta'!C110</x:f>
        <x:v>BDCIM18N-XJ</x:v>
      </x:c>
      <x:c r="D110" t="str">
        <x:f>'Catalogo Ferramenta'!D110</x:f>
        <x:v>Avvitatore a impulsi 18V (solo corpo macchina)</x:v>
      </x:c>
      <x:c r="E110" t="str">
        <x:f>'Catalogo Ferramenta'!E110</x:f>
        <x:v>BLACK+DECKER</x:v>
      </x:c>
      <x:c r="F110" t="str">
        <x:f>'Catalogo Ferramenta'!F110</x:f>
        <x:v>ELETTROUTENSILI</x:v>
      </x:c>
      <x:c r="G110" t="str">
        <x:f>'Catalogo Ferramenta'!G110</x:f>
        <x:v>TRAPANI A BATTERIA</x:v>
      </x:c>
      <x:c r="H110" s="12" t="n">
        <x:f>IF('Catalogo Ferramenta'!H110="",0,'Catalogo Ferramenta'!H110)</x:f>
        <x:v>49.1</x:v>
      </x:c>
      <x:c r="I110" s="12" t="n">
        <x:f>IF('Catalogo Ferramenta'!I110="",0,'Catalogo Ferramenta'!I110)</x:f>
        <x:v>59.9</x:v>
      </x:c>
      <x:c r="J110" s="14" t="n">
        <x:f>IF('Catalogo Ferramenta'!J110="",22,'Catalogo Ferramenta'!J110)</x:f>
        <x:v>22</x:v>
      </x:c>
      <x:c r="K110" s="14" t="n">
        <x:f>IF('Catalogo Ferramenta'!K110="",0,'Catalogo Ferramenta'!K110)</x:f>
        <x:v>0</x:v>
      </x:c>
      <x:c r="L110" s="14" t="n">
        <x:f>1</x:f>
        <x:v>1</x:v>
      </x:c>
      <x:c r="M110" t="n">
        <x:f>'Catalogo Ferramenta'!L110</x:f>
        <x:v>0</x:v>
      </x:c>
      <x:c r="N110" t="n">
        <x:f>'Catalogo Ferramenta'!M110</x:f>
        <x:v>0</x:v>
      </x:c>
      <x:c r="O110" t="str">
        <x:f>'Catalogo Ferramenta'!N110</x:f>
        <x:v>BLACK+DECKER</x:v>
      </x:c>
      <x:c r="P110" t="str">
        <x:f>'Catalogo Ferramenta'!P110</x:f>
        <x:v>Catalogo Black+Decker Lo Specialista 2026, pagina 20. Prezzi se presenti: raccomandati dal catalogo.</x:v>
      </x:c>
      <x:c r="Q110" s="14" t="n">
        <x:f>'Catalogo Ferramenta'!R110</x:f>
        <x:v>20</x:v>
      </x:c>
      <x:c r="R110" t="str">
        <x:f>'Catalogo Ferramenta'!S110</x:f>
        <x:v>B+D_CATALOGO Lo Specialista 2026.pdf</x:v>
      </x:c>
      <x:c r="S110" s="45" t="b">
        <x:f>AND(D110&lt;&gt;"",B110&lt;&gt;"")</x:f>
        <x:v>1</x:v>
      </x:c>
      <x:c r="T110" t="str">
        <x:f>TEXTJOIN("; ",TRUE,IF(D110="","manca nome",""),IF(B110="","manca barcode",""),IF(H110=0,"prezzo costo da compilare",""),IF(I110=0,"prezzo vendita da compilare",""),IF(K110=0,"quantità da compilare",""))</x:f>
        <x:v>quantità da compilare</x:v>
      </x:c>
    </x:row>
    <x:row r="111">
      <x:c r="A111" t="str">
        <x:f>'Catalogo Ferramenta'!A111</x:f>
        <x:v>BD-0110</x:v>
      </x:c>
      <x:c r="B111" t="str">
        <x:f>'Catalogo Ferramenta'!B111</x:f>
        <x:v>5035048661628</x:v>
      </x:c>
      <x:c r="C111" t="str">
        <x:f>'Catalogo Ferramenta'!C111</x:f>
        <x:v>BDCINF18N-QS</x:v>
      </x:c>
      <x:c r="D111" t="str">
        <x:f>'Catalogo Ferramenta'!D111</x:f>
        <x:v>Compressore portatile</x:v>
      </x:c>
      <x:c r="E111" t="str">
        <x:f>'Catalogo Ferramenta'!E111</x:f>
        <x:v>BLACK+DECKER</x:v>
      </x:c>
      <x:c r="F111" t="str">
        <x:f>'Catalogo Ferramenta'!F111</x:f>
        <x:v>ELETTROUTENSILI</x:v>
      </x:c>
      <x:c r="G111" t="str">
        <x:f>'Catalogo Ferramenta'!G111</x:f>
        <x:v>COMPRESSORI</x:v>
      </x:c>
      <x:c r="H111" s="12" t="n">
        <x:f>IF('Catalogo Ferramenta'!H111="",0,'Catalogo Ferramenta'!H111)</x:f>
        <x:v>90.1</x:v>
      </x:c>
      <x:c r="I111" s="12" t="n">
        <x:f>IF('Catalogo Ferramenta'!I111="",0,'Catalogo Ferramenta'!I111)</x:f>
        <x:v>109.9</x:v>
      </x:c>
      <x:c r="J111" s="14" t="n">
        <x:f>IF('Catalogo Ferramenta'!J111="",22,'Catalogo Ferramenta'!J111)</x:f>
        <x:v>22</x:v>
      </x:c>
      <x:c r="K111" s="14" t="n">
        <x:f>IF('Catalogo Ferramenta'!K111="",0,'Catalogo Ferramenta'!K111)</x:f>
        <x:v>0</x:v>
      </x:c>
      <x:c r="L111" s="14" t="n">
        <x:f>1</x:f>
        <x:v>1</x:v>
      </x:c>
      <x:c r="M111" t="n">
        <x:f>'Catalogo Ferramenta'!L111</x:f>
        <x:v>0</x:v>
      </x:c>
      <x:c r="N111" t="n">
        <x:f>'Catalogo Ferramenta'!M111</x:f>
        <x:v>0</x:v>
      </x:c>
      <x:c r="O111" t="str">
        <x:f>'Catalogo Ferramenta'!N111</x:f>
        <x:v>BLACK+DECKER</x:v>
      </x:c>
      <x:c r="P111" t="str">
        <x:f>'Catalogo Ferramenta'!P111</x:f>
        <x:v>Catalogo Black+Decker Lo Specialista 2026, pagina 69. Prezzi se presenti: raccomandati dal catalogo.</x:v>
      </x:c>
      <x:c r="Q111" s="14" t="n">
        <x:f>'Catalogo Ferramenta'!R111</x:f>
        <x:v>69</x:v>
      </x:c>
      <x:c r="R111" t="str">
        <x:f>'Catalogo Ferramenta'!S111</x:f>
        <x:v>B+D_CATALOGO Lo Specialista 2026.pdf</x:v>
      </x:c>
      <x:c r="S111" s="45" t="b">
        <x:f>AND(D111&lt;&gt;"",B111&lt;&gt;"")</x:f>
        <x:v>1</x:v>
      </x:c>
      <x:c r="T111" t="str">
        <x:f>TEXTJOIN("; ",TRUE,IF(D111="","manca nome",""),IF(B111="","manca barcode",""),IF(H111=0,"prezzo costo da compilare",""),IF(I111=0,"prezzo vendita da compilare",""),IF(K111=0,"quantità da compilare",""))</x:f>
        <x:v>quantità da compilare</x:v>
      </x:c>
    </x:row>
    <x:row r="112">
      <x:c r="A112" t="str">
        <x:f>'Catalogo Ferramenta'!A112</x:f>
        <x:v>BD-0111</x:v>
      </x:c>
      <x:c r="B112" t="str">
        <x:f>'Catalogo Ferramenta'!B112</x:f>
        <x:v>5035048630327</x:v>
      </x:c>
      <x:c r="C112" t="str">
        <x:f>'Catalogo Ferramenta'!C112</x:f>
        <x:v>BDCJS18-QW</x:v>
      </x:c>
      <x:c r="D112" t="str">
        <x:f>'Catalogo Ferramenta'!D112</x:f>
        <x:v>Seghetto alternativo a batteria 18V</x:v>
      </x:c>
      <x:c r="E112" t="str">
        <x:f>'Catalogo Ferramenta'!E112</x:f>
        <x:v>BLACK+DECKER</x:v>
      </x:c>
      <x:c r="F112" t="str">
        <x:f>'Catalogo Ferramenta'!F112</x:f>
        <x:v>ELETTROUTENSILI</x:v>
      </x:c>
      <x:c r="G112" t="str">
        <x:f>'Catalogo Ferramenta'!G112</x:f>
        <x:v>UTENSILI PER TAGLIARE</x:v>
      </x:c>
      <x:c r="H112" s="12" t="n">
        <x:f>IF('Catalogo Ferramenta'!H112="",0,'Catalogo Ferramenta'!H112)</x:f>
        <x:v>81.9</x:v>
      </x:c>
      <x:c r="I112" s="12" t="n">
        <x:f>IF('Catalogo Ferramenta'!I112="",0,'Catalogo Ferramenta'!I112)</x:f>
        <x:v>99.9</x:v>
      </x:c>
      <x:c r="J112" s="14" t="n">
        <x:f>IF('Catalogo Ferramenta'!J112="",22,'Catalogo Ferramenta'!J112)</x:f>
        <x:v>22</x:v>
      </x:c>
      <x:c r="K112" s="14" t="n">
        <x:f>IF('Catalogo Ferramenta'!K112="",0,'Catalogo Ferramenta'!K112)</x:f>
        <x:v>0</x:v>
      </x:c>
      <x:c r="L112" s="14" t="n">
        <x:f>1</x:f>
        <x:v>1</x:v>
      </x:c>
      <x:c r="M112" t="n">
        <x:f>'Catalogo Ferramenta'!L112</x:f>
        <x:v>0</x:v>
      </x:c>
      <x:c r="N112" t="n">
        <x:f>'Catalogo Ferramenta'!M112</x:f>
        <x:v>0</x:v>
      </x:c>
      <x:c r="O112" t="str">
        <x:f>'Catalogo Ferramenta'!N112</x:f>
        <x:v>BLACK+DECKER</x:v>
      </x:c>
      <x:c r="P112" t="str">
        <x:f>'Catalogo Ferramenta'!P112</x:f>
        <x:v>Catalogo Black+Decker Lo Specialista 2026, pagina 32. Prezzi se presenti: raccomandati dal catalogo.</x:v>
      </x:c>
      <x:c r="Q112" s="14" t="n">
        <x:f>'Catalogo Ferramenta'!R112</x:f>
        <x:v>32</x:v>
      </x:c>
      <x:c r="R112" t="str">
        <x:f>'Catalogo Ferramenta'!S112</x:f>
        <x:v>B+D_CATALOGO Lo Specialista 2026.pdf</x:v>
      </x:c>
      <x:c r="S112" s="45" t="b">
        <x:f>AND(D112&lt;&gt;"",B112&lt;&gt;"")</x:f>
        <x:v>1</x:v>
      </x:c>
      <x:c r="T112" t="str">
        <x:f>TEXTJOIN("; ",TRUE,IF(D112="","manca nome",""),IF(B112="","manca barcode",""),IF(H112=0,"prezzo costo da compilare",""),IF(I112=0,"prezzo vendita da compilare",""),IF(K112=0,"quantità da compilare",""))</x:f>
        <x:v>quantità da compilare</x:v>
      </x:c>
    </x:row>
    <x:row r="113">
      <x:c r="A113" t="str">
        <x:f>'Catalogo Ferramenta'!A113</x:f>
        <x:v>BD-0112</x:v>
      </x:c>
      <x:c r="B113" t="str">
        <x:f>'Catalogo Ferramenta'!B113</x:f>
        <x:v>5035048630310</x:v>
      </x:c>
      <x:c r="C113" t="str">
        <x:f>'Catalogo Ferramenta'!C113</x:f>
        <x:v>BDCJS18N-XJ</x:v>
      </x:c>
      <x:c r="D113" t="str">
        <x:f>'Catalogo Ferramenta'!D113</x:f>
        <x:v>Seghetto alternativo a batteria 18V (solo corpo macchina)</x:v>
      </x:c>
      <x:c r="E113" t="str">
        <x:f>'Catalogo Ferramenta'!E113</x:f>
        <x:v>BLACK+DECKER</x:v>
      </x:c>
      <x:c r="F113" t="str">
        <x:f>'Catalogo Ferramenta'!F113</x:f>
        <x:v>ELETTROUTENSILI</x:v>
      </x:c>
      <x:c r="G113" t="str">
        <x:f>'Catalogo Ferramenta'!G113</x:f>
        <x:v>UTENSILI PER TAGLIARE</x:v>
      </x:c>
      <x:c r="H113" s="12" t="n">
        <x:f>IF('Catalogo Ferramenta'!H113="",0,'Catalogo Ferramenta'!H113)</x:f>
        <x:v>54</x:v>
      </x:c>
      <x:c r="I113" s="12" t="n">
        <x:f>IF('Catalogo Ferramenta'!I113="",0,'Catalogo Ferramenta'!I113)</x:f>
        <x:v>65.9</x:v>
      </x:c>
      <x:c r="J113" s="14" t="n">
        <x:f>IF('Catalogo Ferramenta'!J113="",22,'Catalogo Ferramenta'!J113)</x:f>
        <x:v>22</x:v>
      </x:c>
      <x:c r="K113" s="14" t="n">
        <x:f>IF('Catalogo Ferramenta'!K113="",0,'Catalogo Ferramenta'!K113)</x:f>
        <x:v>0</x:v>
      </x:c>
      <x:c r="L113" s="14" t="n">
        <x:f>1</x:f>
        <x:v>1</x:v>
      </x:c>
      <x:c r="M113" t="n">
        <x:f>'Catalogo Ferramenta'!L113</x:f>
        <x:v>0</x:v>
      </x:c>
      <x:c r="N113" t="n">
        <x:f>'Catalogo Ferramenta'!M113</x:f>
        <x:v>0</x:v>
      </x:c>
      <x:c r="O113" t="str">
        <x:f>'Catalogo Ferramenta'!N113</x:f>
        <x:v>BLACK+DECKER</x:v>
      </x:c>
      <x:c r="P113" t="str">
        <x:f>'Catalogo Ferramenta'!P113</x:f>
        <x:v>Catalogo Black+Decker Lo Specialista 2026, pagina 32. Prezzi se presenti: raccomandati dal catalogo.</x:v>
      </x:c>
      <x:c r="Q113" s="14" t="n">
        <x:f>'Catalogo Ferramenta'!R113</x:f>
        <x:v>32</x:v>
      </x:c>
      <x:c r="R113" t="str">
        <x:f>'Catalogo Ferramenta'!S113</x:f>
        <x:v>B+D_CATALOGO Lo Specialista 2026.pdf</x:v>
      </x:c>
      <x:c r="S113" s="45" t="b">
        <x:f>AND(D113&lt;&gt;"",B113&lt;&gt;"")</x:f>
        <x:v>1</x:v>
      </x:c>
      <x:c r="T113" t="str">
        <x:f>TEXTJOIN("; ",TRUE,IF(D113="","manca nome",""),IF(B113="","manca barcode",""),IF(H113=0,"prezzo costo da compilare",""),IF(I113=0,"prezzo vendita da compilare",""),IF(K113=0,"quantità da compilare",""))</x:f>
        <x:v>quantità da compilare</x:v>
      </x:c>
    </x:row>
    <x:row r="114">
      <x:c r="A114" t="str">
        <x:f>'Catalogo Ferramenta'!A114</x:f>
        <x:v>BD-0113</x:v>
      </x:c>
      <x:c r="B114" t="str">
        <x:f>'Catalogo Ferramenta'!B114</x:f>
        <x:v>5035048789131</x:v>
      </x:c>
      <x:c r="C114" t="str">
        <x:f>'Catalogo Ferramenta'!C114</x:f>
        <x:v>BDCOS18D1K-QW</x:v>
      </x:c>
      <x:c r="D114" t="str">
        <x:f>'Catalogo Ferramenta'!D114</x:f>
        <x:v>Utensile multifunzione oscillante a batteria 18V con accessori in valigetta</x:v>
      </x:c>
      <x:c r="E114" t="str">
        <x:f>'Catalogo Ferramenta'!E114</x:f>
        <x:v>BLACK+DECKER</x:v>
      </x:c>
      <x:c r="F114" t="str">
        <x:f>'Catalogo Ferramenta'!F114</x:f>
        <x:v>ELETTROUTENSILI</x:v>
      </x:c>
      <x:c r="G114" t="str">
        <x:f>'Catalogo Ferramenta'!G114</x:f>
        <x:v>PIALLETTI, ELETTROFRESATRICI ED ALTRI UTENSILI</x:v>
      </x:c>
      <x:c r="H114" s="12" t="n">
        <x:f>IF('Catalogo Ferramenta'!H114="",0,'Catalogo Ferramenta'!H114)</x:f>
        <x:v>106.5</x:v>
      </x:c>
      <x:c r="I114" s="12" t="n">
        <x:f>IF('Catalogo Ferramenta'!I114="",0,'Catalogo Ferramenta'!I114)</x:f>
        <x:v>129.9</x:v>
      </x:c>
      <x:c r="J114" s="14" t="n">
        <x:f>IF('Catalogo Ferramenta'!J114="",22,'Catalogo Ferramenta'!J114)</x:f>
        <x:v>22</x:v>
      </x:c>
      <x:c r="K114" s="14" t="n">
        <x:f>IF('Catalogo Ferramenta'!K114="",0,'Catalogo Ferramenta'!K114)</x:f>
        <x:v>0</x:v>
      </x:c>
      <x:c r="L114" s="14" t="n">
        <x:f>1</x:f>
        <x:v>1</x:v>
      </x:c>
      <x:c r="M114" t="n">
        <x:f>'Catalogo Ferramenta'!L114</x:f>
        <x:v>0</x:v>
      </x:c>
      <x:c r="N114" t="n">
        <x:f>'Catalogo Ferramenta'!M114</x:f>
        <x:v>0</x:v>
      </x:c>
      <x:c r="O114" t="str">
        <x:f>'Catalogo Ferramenta'!N114</x:f>
        <x:v>BLACK+DECKER</x:v>
      </x:c>
      <x:c r="P114" t="str">
        <x:f>'Catalogo Ferramenta'!P114</x:f>
        <x:v>Catalogo Black+Decker Lo Specialista 2026, pagina 59. Prezzi se presenti: raccomandati dal catalogo.</x:v>
      </x:c>
      <x:c r="Q114" s="14" t="n">
        <x:f>'Catalogo Ferramenta'!R114</x:f>
        <x:v>59</x:v>
      </x:c>
      <x:c r="R114" t="str">
        <x:f>'Catalogo Ferramenta'!S114</x:f>
        <x:v>B+D_CATALOGO Lo Specialista 2026.pdf</x:v>
      </x:c>
      <x:c r="S114" s="45" t="b">
        <x:f>AND(D114&lt;&gt;"",B114&lt;&gt;"")</x:f>
        <x:v>1</x:v>
      </x:c>
      <x:c r="T114" t="str">
        <x:f>TEXTJOIN("; ",TRUE,IF(D114="","manca nome",""),IF(B114="","manca barcode",""),IF(H114=0,"prezzo costo da compilare",""),IF(I114=0,"prezzo vendita da compilare",""),IF(K114=0,"quantità da compilare",""))</x:f>
        <x:v>quantità da compilare</x:v>
      </x:c>
    </x:row>
    <x:row r="115">
      <x:c r="A115" t="str">
        <x:f>'Catalogo Ferramenta'!A115</x:f>
        <x:v>BD-0114</x:v>
      </x:c>
      <x:c r="B115" t="str">
        <x:f>'Catalogo Ferramenta'!B115</x:f>
        <x:v>5035048789100</x:v>
      </x:c>
      <x:c r="C115" t="str">
        <x:f>'Catalogo Ferramenta'!C115</x:f>
        <x:v>BDCOS18N-XJ</x:v>
      </x:c>
      <x:c r="D115" t="str">
        <x:f>'Catalogo Ferramenta'!D115</x:f>
        <x:v>Utensile multifunzione oscillante a batteria 18V (solo corpo macchina)</x:v>
      </x:c>
      <x:c r="E115" t="str">
        <x:f>'Catalogo Ferramenta'!E115</x:f>
        <x:v>BLACK+DECKER</x:v>
      </x:c>
      <x:c r="F115" t="str">
        <x:f>'Catalogo Ferramenta'!F115</x:f>
        <x:v>ELETTROUTENSILI</x:v>
      </x:c>
      <x:c r="G115" t="str">
        <x:f>'Catalogo Ferramenta'!G115</x:f>
        <x:v>PIALLETTI, ELETTROFRESATRICI ED ALTRI UTENSILI</x:v>
      </x:c>
      <x:c r="H115" s="12" t="n">
        <x:f>IF('Catalogo Ferramenta'!H115="",0,'Catalogo Ferramenta'!H115)</x:f>
        <x:v>65.5</x:v>
      </x:c>
      <x:c r="I115" s="12" t="n">
        <x:f>IF('Catalogo Ferramenta'!I115="",0,'Catalogo Ferramenta'!I115)</x:f>
        <x:v>79.9</x:v>
      </x:c>
      <x:c r="J115" s="14" t="n">
        <x:f>IF('Catalogo Ferramenta'!J115="",22,'Catalogo Ferramenta'!J115)</x:f>
        <x:v>22</x:v>
      </x:c>
      <x:c r="K115" s="14" t="n">
        <x:f>IF('Catalogo Ferramenta'!K115="",0,'Catalogo Ferramenta'!K115)</x:f>
        <x:v>0</x:v>
      </x:c>
      <x:c r="L115" s="14" t="n">
        <x:f>1</x:f>
        <x:v>1</x:v>
      </x:c>
      <x:c r="M115" t="n">
        <x:f>'Catalogo Ferramenta'!L115</x:f>
        <x:v>0</x:v>
      </x:c>
      <x:c r="N115" t="n">
        <x:f>'Catalogo Ferramenta'!M115</x:f>
        <x:v>0</x:v>
      </x:c>
      <x:c r="O115" t="str">
        <x:f>'Catalogo Ferramenta'!N115</x:f>
        <x:v>BLACK+DECKER</x:v>
      </x:c>
      <x:c r="P115" t="str">
        <x:f>'Catalogo Ferramenta'!P115</x:f>
        <x:v>Catalogo Black+Decker Lo Specialista 2026, pagina 59. Prezzi se presenti: raccomandati dal catalogo.</x:v>
      </x:c>
      <x:c r="Q115" s="14" t="n">
        <x:f>'Catalogo Ferramenta'!R115</x:f>
        <x:v>59</x:v>
      </x:c>
      <x:c r="R115" t="str">
        <x:f>'Catalogo Ferramenta'!S115</x:f>
        <x:v>B+D_CATALOGO Lo Specialista 2026.pdf</x:v>
      </x:c>
      <x:c r="S115" s="45" t="b">
        <x:f>AND(D115&lt;&gt;"",B115&lt;&gt;"")</x:f>
        <x:v>1</x:v>
      </x:c>
      <x:c r="T115" t="str">
        <x:f>TEXTJOIN("; ",TRUE,IF(D115="","manca nome",""),IF(B115="","manca barcode",""),IF(H115=0,"prezzo costo da compilare",""),IF(I115=0,"prezzo vendita da compilare",""),IF(K115=0,"quantità da compilare",""))</x:f>
        <x:v>quantità da compilare</x:v>
      </x:c>
    </x:row>
    <x:row r="116">
      <x:c r="A116" t="str">
        <x:f>'Catalogo Ferramenta'!A116</x:f>
        <x:v>BD-0115</x:v>
      </x:c>
      <x:c r="B116" t="str">
        <x:f>'Catalogo Ferramenta'!B116</x:f>
        <x:v>5035048562208</x:v>
      </x:c>
      <x:c r="C116" t="str">
        <x:f>'Catalogo Ferramenta'!C116</x:f>
        <x:v>BDCR18-QW</x:v>
      </x:c>
      <x:c r="D116" t="str">
        <x:f>'Catalogo Ferramenta'!D116</x:f>
        <x:v>Sega universale a batteria 18V</x:v>
      </x:c>
      <x:c r="E116" t="str">
        <x:f>'Catalogo Ferramenta'!E116</x:f>
        <x:v>BLACK+DECKER</x:v>
      </x:c>
      <x:c r="F116" t="str">
        <x:f>'Catalogo Ferramenta'!F116</x:f>
        <x:v>ELETTROUTENSILI</x:v>
      </x:c>
      <x:c r="G116" t="str">
        <x:f>'Catalogo Ferramenta'!G116</x:f>
        <x:v>UTENSILI PER TAGLIARE</x:v>
      </x:c>
      <x:c r="H116" s="12" t="n">
        <x:f>IF('Catalogo Ferramenta'!H116="",0,'Catalogo Ferramenta'!H116)</x:f>
        <x:v>81.9</x:v>
      </x:c>
      <x:c r="I116" s="12" t="n">
        <x:f>IF('Catalogo Ferramenta'!I116="",0,'Catalogo Ferramenta'!I116)</x:f>
        <x:v>99.9</x:v>
      </x:c>
      <x:c r="J116" s="14" t="n">
        <x:f>IF('Catalogo Ferramenta'!J116="",22,'Catalogo Ferramenta'!J116)</x:f>
        <x:v>22</x:v>
      </x:c>
      <x:c r="K116" s="14" t="n">
        <x:f>IF('Catalogo Ferramenta'!K116="",0,'Catalogo Ferramenta'!K116)</x:f>
        <x:v>0</x:v>
      </x:c>
      <x:c r="L116" s="14" t="n">
        <x:f>1</x:f>
        <x:v>1</x:v>
      </x:c>
      <x:c r="M116" t="n">
        <x:f>'Catalogo Ferramenta'!L116</x:f>
        <x:v>0</x:v>
      </x:c>
      <x:c r="N116" t="n">
        <x:f>'Catalogo Ferramenta'!M116</x:f>
        <x:v>0</x:v>
      </x:c>
      <x:c r="O116" t="str">
        <x:f>'Catalogo Ferramenta'!N116</x:f>
        <x:v>BLACK+DECKER</x:v>
      </x:c>
      <x:c r="P116" t="str">
        <x:f>'Catalogo Ferramenta'!P116</x:f>
        <x:v>Catalogo Black+Decker Lo Specialista 2026, pagina 34. Prezzi se presenti: raccomandati dal catalogo.</x:v>
      </x:c>
      <x:c r="Q116" s="14" t="n">
        <x:f>'Catalogo Ferramenta'!R116</x:f>
        <x:v>34</x:v>
      </x:c>
      <x:c r="R116" t="str">
        <x:f>'Catalogo Ferramenta'!S116</x:f>
        <x:v>B+D_CATALOGO Lo Specialista 2026.pdf</x:v>
      </x:c>
      <x:c r="S116" s="45" t="b">
        <x:f>AND(D116&lt;&gt;"",B116&lt;&gt;"")</x:f>
        <x:v>1</x:v>
      </x:c>
      <x:c r="T116" t="str">
        <x:f>TEXTJOIN("; ",TRUE,IF(D116="","manca nome",""),IF(B116="","manca barcode",""),IF(H116=0,"prezzo costo da compilare",""),IF(I116=0,"prezzo vendita da compilare",""),IF(K116=0,"quantità da compilare",""))</x:f>
        <x:v>quantità da compilare</x:v>
      </x:c>
    </x:row>
    <x:row r="117">
      <x:c r="A117" t="str">
        <x:f>'Catalogo Ferramenta'!A117</x:f>
        <x:v>BD-0116</x:v>
      </x:c>
      <x:c r="B117" t="str">
        <x:f>'Catalogo Ferramenta'!B117</x:f>
        <x:v>5035048561720</x:v>
      </x:c>
      <x:c r="C117" t="str">
        <x:f>'Catalogo Ferramenta'!C117</x:f>
        <x:v>BDCR18N-XJ</x:v>
      </x:c>
      <x:c r="D117" t="str">
        <x:f>'Catalogo Ferramenta'!D117</x:f>
        <x:v>Sega circolare 18V (solo corpo macchina)</x:v>
      </x:c>
      <x:c r="E117" t="str">
        <x:f>'Catalogo Ferramenta'!E117</x:f>
        <x:v>BLACK+DECKER</x:v>
      </x:c>
      <x:c r="F117" t="str">
        <x:f>'Catalogo Ferramenta'!F117</x:f>
        <x:v>ELETTROUTENSILI</x:v>
      </x:c>
      <x:c r="G117" t="str">
        <x:f>'Catalogo Ferramenta'!G117</x:f>
        <x:v>UTENSILI PER TAGLIARE</x:v>
      </x:c>
      <x:c r="H117" s="12" t="n">
        <x:f>IF('Catalogo Ferramenta'!H117="",0,'Catalogo Ferramenta'!H117)</x:f>
        <x:v>57.3</x:v>
      </x:c>
      <x:c r="I117" s="12" t="n">
        <x:f>IF('Catalogo Ferramenta'!I117="",0,'Catalogo Ferramenta'!I117)</x:f>
        <x:v>69.9</x:v>
      </x:c>
      <x:c r="J117" s="14" t="n">
        <x:f>IF('Catalogo Ferramenta'!J117="",22,'Catalogo Ferramenta'!J117)</x:f>
        <x:v>22</x:v>
      </x:c>
      <x:c r="K117" s="14" t="n">
        <x:f>IF('Catalogo Ferramenta'!K117="",0,'Catalogo Ferramenta'!K117)</x:f>
        <x:v>0</x:v>
      </x:c>
      <x:c r="L117" s="14" t="n">
        <x:f>1</x:f>
        <x:v>1</x:v>
      </x:c>
      <x:c r="M117" t="n">
        <x:f>'Catalogo Ferramenta'!L117</x:f>
        <x:v>0</x:v>
      </x:c>
      <x:c r="N117" t="n">
        <x:f>'Catalogo Ferramenta'!M117</x:f>
        <x:v>0</x:v>
      </x:c>
      <x:c r="O117" t="str">
        <x:f>'Catalogo Ferramenta'!N117</x:f>
        <x:v>BLACK+DECKER</x:v>
      </x:c>
      <x:c r="P117" t="str">
        <x:f>'Catalogo Ferramenta'!P117</x:f>
        <x:v>Catalogo Black+Decker Lo Specialista 2026, pagina 34. Prezzi se presenti: raccomandati dal catalogo.</x:v>
      </x:c>
      <x:c r="Q117" s="14" t="n">
        <x:f>'Catalogo Ferramenta'!R117</x:f>
        <x:v>34</x:v>
      </x:c>
      <x:c r="R117" t="str">
        <x:f>'Catalogo Ferramenta'!S117</x:f>
        <x:v>B+D_CATALOGO Lo Specialista 2026.pdf</x:v>
      </x:c>
      <x:c r="S117" s="45" t="b">
        <x:f>AND(D117&lt;&gt;"",B117&lt;&gt;"")</x:f>
        <x:v>1</x:v>
      </x:c>
      <x:c r="T117" t="str">
        <x:f>TEXTJOIN("; ",TRUE,IF(D117="","manca nome",""),IF(B117="","manca barcode",""),IF(H117=0,"prezzo costo da compilare",""),IF(I117=0,"prezzo vendita da compilare",""),IF(K117=0,"quantità da compilare",""))</x:f>
        <x:v>quantità da compilare</x:v>
      </x:c>
    </x:row>
    <x:row r="118">
      <x:c r="A118" t="str">
        <x:f>'Catalogo Ferramenta'!A118</x:f>
        <x:v>BD-0117</x:v>
      </x:c>
      <x:c r="B118" t="str">
        <x:f>'Catalogo Ferramenta'!B118</x:f>
        <x:v>5035048664414</x:v>
      </x:c>
      <x:c r="C118" t="str">
        <x:f>'Catalogo Ferramenta'!C118</x:f>
        <x:v>BDCROS18-QW</x:v>
      </x:c>
      <x:c r="D118" t="str">
        <x:f>'Catalogo Ferramenta'!D118</x:f>
        <x:v>Levigatrice rotorbitale a batteria 18V</x:v>
      </x:c>
      <x:c r="E118" t="str">
        <x:f>'Catalogo Ferramenta'!E118</x:f>
        <x:v>BLACK+DECKER</x:v>
      </x:c>
      <x:c r="F118" t="str">
        <x:f>'Catalogo Ferramenta'!F118</x:f>
        <x:v>ELETTROUTENSILI</x:v>
      </x:c>
      <x:c r="G118" t="str">
        <x:f>'Catalogo Ferramenta'!G118</x:f>
        <x:v>LEVIGATRICI</x:v>
      </x:c>
      <x:c r="H118" s="12" t="n">
        <x:f>IF('Catalogo Ferramenta'!H118="",0,'Catalogo Ferramenta'!H118)</x:f>
        <x:v>81.9</x:v>
      </x:c>
      <x:c r="I118" s="12" t="n">
        <x:f>IF('Catalogo Ferramenta'!I118="",0,'Catalogo Ferramenta'!I118)</x:f>
        <x:v>99.9</x:v>
      </x:c>
      <x:c r="J118" s="14" t="n">
        <x:f>IF('Catalogo Ferramenta'!J118="",22,'Catalogo Ferramenta'!J118)</x:f>
        <x:v>22</x:v>
      </x:c>
      <x:c r="K118" s="14" t="n">
        <x:f>IF('Catalogo Ferramenta'!K118="",0,'Catalogo Ferramenta'!K118)</x:f>
        <x:v>0</x:v>
      </x:c>
      <x:c r="L118" s="14" t="n">
        <x:f>1</x:f>
        <x:v>1</x:v>
      </x:c>
      <x:c r="M118" t="n">
        <x:f>'Catalogo Ferramenta'!L118</x:f>
        <x:v>0</x:v>
      </x:c>
      <x:c r="N118" t="n">
        <x:f>'Catalogo Ferramenta'!M118</x:f>
        <x:v>0</x:v>
      </x:c>
      <x:c r="O118" t="str">
        <x:f>'Catalogo Ferramenta'!N118</x:f>
        <x:v>BLACK+DECKER</x:v>
      </x:c>
      <x:c r="P118" t="str">
        <x:f>'Catalogo Ferramenta'!P118</x:f>
        <x:v>Catalogo Black+Decker Lo Specialista 2026, pagina 47. Prezzi se presenti: raccomandati dal catalogo.</x:v>
      </x:c>
      <x:c r="Q118" s="14" t="n">
        <x:f>'Catalogo Ferramenta'!R118</x:f>
        <x:v>47</x:v>
      </x:c>
      <x:c r="R118" t="str">
        <x:f>'Catalogo Ferramenta'!S118</x:f>
        <x:v>B+D_CATALOGO Lo Specialista 2026.pdf</x:v>
      </x:c>
      <x:c r="S118" s="45" t="b">
        <x:f>AND(D118&lt;&gt;"",B118&lt;&gt;"")</x:f>
        <x:v>1</x:v>
      </x:c>
      <x:c r="T118" t="str">
        <x:f>TEXTJOIN("; ",TRUE,IF(D118="","manca nome",""),IF(B118="","manca barcode",""),IF(H118=0,"prezzo costo da compilare",""),IF(I118=0,"prezzo vendita da compilare",""),IF(K118=0,"quantità da compilare",""))</x:f>
        <x:v>quantità da compilare</x:v>
      </x:c>
    </x:row>
    <x:row r="119">
      <x:c r="A119" t="str">
        <x:f>'Catalogo Ferramenta'!A119</x:f>
        <x:v>BD-0118</x:v>
      </x:c>
      <x:c r="B119" t="str">
        <x:f>'Catalogo Ferramenta'!B119</x:f>
        <x:v>5035048664445</x:v>
      </x:c>
      <x:c r="C119" t="str">
        <x:f>'Catalogo Ferramenta'!C119</x:f>
        <x:v>BDCROS18N-XJ</x:v>
      </x:c>
      <x:c r="D119" t="str">
        <x:f>'Catalogo Ferramenta'!D119</x:f>
        <x:v>Levigatrice rotorbitale a batteria (solo corpo macchina)</x:v>
      </x:c>
      <x:c r="E119" t="str">
        <x:f>'Catalogo Ferramenta'!E119</x:f>
        <x:v>BLACK+DECKER</x:v>
      </x:c>
      <x:c r="F119" t="str">
        <x:f>'Catalogo Ferramenta'!F119</x:f>
        <x:v>ELETTROUTENSILI</x:v>
      </x:c>
      <x:c r="G119" t="str">
        <x:f>'Catalogo Ferramenta'!G119</x:f>
        <x:v>LEVIGATRICI</x:v>
      </x:c>
      <x:c r="H119" s="12" t="n">
        <x:f>IF('Catalogo Ferramenta'!H119="",0,'Catalogo Ferramenta'!H119)</x:f>
        <x:v>53.2</x:v>
      </x:c>
      <x:c r="I119" s="12" t="n">
        <x:f>IF('Catalogo Ferramenta'!I119="",0,'Catalogo Ferramenta'!I119)</x:f>
        <x:v>64.9</x:v>
      </x:c>
      <x:c r="J119" s="14" t="n">
        <x:f>IF('Catalogo Ferramenta'!J119="",22,'Catalogo Ferramenta'!J119)</x:f>
        <x:v>22</x:v>
      </x:c>
      <x:c r="K119" s="14" t="n">
        <x:f>IF('Catalogo Ferramenta'!K119="",0,'Catalogo Ferramenta'!K119)</x:f>
        <x:v>0</x:v>
      </x:c>
      <x:c r="L119" s="14" t="n">
        <x:f>1</x:f>
        <x:v>1</x:v>
      </x:c>
      <x:c r="M119" t="n">
        <x:f>'Catalogo Ferramenta'!L119</x:f>
        <x:v>0</x:v>
      </x:c>
      <x:c r="N119" t="n">
        <x:f>'Catalogo Ferramenta'!M119</x:f>
        <x:v>0</x:v>
      </x:c>
      <x:c r="O119" t="str">
        <x:f>'Catalogo Ferramenta'!N119</x:f>
        <x:v>BLACK+DECKER</x:v>
      </x:c>
      <x:c r="P119" t="str">
        <x:f>'Catalogo Ferramenta'!P119</x:f>
        <x:v>Catalogo Black+Decker Lo Specialista 2026, pagina 47. Prezzi se presenti: raccomandati dal catalogo.</x:v>
      </x:c>
      <x:c r="Q119" s="14" t="n">
        <x:f>'Catalogo Ferramenta'!R119</x:f>
        <x:v>47</x:v>
      </x:c>
      <x:c r="R119" t="str">
        <x:f>'Catalogo Ferramenta'!S119</x:f>
        <x:v>B+D_CATALOGO Lo Specialista 2026.pdf</x:v>
      </x:c>
      <x:c r="S119" s="45" t="b">
        <x:f>AND(D119&lt;&gt;"",B119&lt;&gt;"")</x:f>
        <x:v>1</x:v>
      </x:c>
      <x:c r="T119" t="str">
        <x:f>TEXTJOIN("; ",TRUE,IF(D119="","manca nome",""),IF(B119="","manca barcode",""),IF(H119=0,"prezzo costo da compilare",""),IF(I119=0,"prezzo vendita da compilare",""),IF(K119=0,"quantità da compilare",""))</x:f>
        <x:v>quantità da compilare</x:v>
      </x:c>
    </x:row>
    <x:row r="120">
      <x:c r="A120" t="str">
        <x:f>'Catalogo Ferramenta'!A120</x:f>
        <x:v>BD-0119</x:v>
      </x:c>
      <x:c r="B120" t="str">
        <x:f>'Catalogo Ferramenta'!B120</x:f>
        <x:v>5035048668993</x:v>
      </x:c>
      <x:c r="C120" t="str">
        <x:f>'Catalogo Ferramenta'!C120</x:f>
        <x:v>BDCSFL20C-QW</x:v>
      </x:c>
      <x:c r="D120" t="str">
        <x:f>'Catalogo Ferramenta'!D120</x:f>
        <x:v>Svitavvita con impugnatura orientabile e torcia integrata</x:v>
      </x:c>
      <x:c r="E120" t="str">
        <x:f>'Catalogo Ferramenta'!E120</x:f>
        <x:v>BLACK+DECKER</x:v>
      </x:c>
      <x:c r="F120" t="str">
        <x:f>'Catalogo Ferramenta'!F120</x:f>
        <x:v>ELETTROUTENSILI</x:v>
      </x:c>
      <x:c r="G120" t="str">
        <x:f>'Catalogo Ferramenta'!G120</x:f>
        <x:v>SVITAVVITA</x:v>
      </x:c>
      <x:c r="H120" s="12" t="n">
        <x:f>IF('Catalogo Ferramenta'!H120="",0,'Catalogo Ferramenta'!H120)</x:f>
        <x:v>27</x:v>
      </x:c>
      <x:c r="I120" s="12" t="n">
        <x:f>IF('Catalogo Ferramenta'!I120="",0,'Catalogo Ferramenta'!I120)</x:f>
        <x:v>32.9</x:v>
      </x:c>
      <x:c r="J120" s="14" t="n">
        <x:f>IF('Catalogo Ferramenta'!J120="",22,'Catalogo Ferramenta'!J120)</x:f>
        <x:v>22</x:v>
      </x:c>
      <x:c r="K120" s="14" t="n">
        <x:f>IF('Catalogo Ferramenta'!K120="",0,'Catalogo Ferramenta'!K120)</x:f>
        <x:v>0</x:v>
      </x:c>
      <x:c r="L120" s="14" t="n">
        <x:f>1</x:f>
        <x:v>1</x:v>
      </x:c>
      <x:c r="M120" t="n">
        <x:f>'Catalogo Ferramenta'!L120</x:f>
        <x:v>0</x:v>
      </x:c>
      <x:c r="N120" t="n">
        <x:f>'Catalogo Ferramenta'!M120</x:f>
        <x:v>0</x:v>
      </x:c>
      <x:c r="O120" t="str">
        <x:f>'Catalogo Ferramenta'!N120</x:f>
        <x:v>BLACK+DECKER</x:v>
      </x:c>
      <x:c r="P120" t="str">
        <x:f>'Catalogo Ferramenta'!P120</x:f>
        <x:v>Catalogo Black+Decker Lo Specialista 2026, pagina 26. Prezzi se presenti: raccomandati dal catalogo.</x:v>
      </x:c>
      <x:c r="Q120" s="14" t="n">
        <x:f>'Catalogo Ferramenta'!R120</x:f>
        <x:v>26</x:v>
      </x:c>
      <x:c r="R120" t="str">
        <x:f>'Catalogo Ferramenta'!S120</x:f>
        <x:v>B+D_CATALOGO Lo Specialista 2026.pdf</x:v>
      </x:c>
      <x:c r="S120" s="45" t="b">
        <x:f>AND(D120&lt;&gt;"",B120&lt;&gt;"")</x:f>
        <x:v>1</x:v>
      </x:c>
      <x:c r="T120" t="str">
        <x:f>TEXTJOIN("; ",TRUE,IF(D120="","manca nome",""),IF(B120="","manca barcode",""),IF(H120=0,"prezzo costo da compilare",""),IF(I120=0,"prezzo vendita da compilare",""),IF(K120=0,"quantità da compilare",""))</x:f>
        <x:v>quantità da compilare</x:v>
      </x:c>
    </x:row>
    <x:row r="121">
      <x:c r="A121" t="str">
        <x:f>'Catalogo Ferramenta'!A121</x:f>
        <x:v>BD-0120</x:v>
      </x:c>
      <x:c r="B121" t="str">
        <x:f>'Catalogo Ferramenta'!B121</x:f>
        <x:v>5035048791981</x:v>
      </x:c>
      <x:c r="C121" t="str">
        <x:f>'Catalogo Ferramenta'!C121</x:f>
        <x:v>BDCWBK01-XJ</x:v>
      </x:c>
      <x:c r="D121" t="str">
        <x:f>'Catalogo Ferramenta'!D121</x:f>
        <x:v>Carrello pieghevole</x:v>
      </x:c>
      <x:c r="E121" t="str">
        <x:f>'Catalogo Ferramenta'!E121</x:f>
        <x:v>BLACK+DECKER</x:v>
      </x:c>
      <x:c r="F121" t="str">
        <x:f>'Catalogo Ferramenta'!F121</x:f>
        <x:v>ELETTROUTENSILI</x:v>
      </x:c>
      <x:c r="G121" t="str">
        <x:f>'Catalogo Ferramenta'!G121</x:f>
        <x:v>BANCHI DA LAVORO E LIFESTYLE</x:v>
      </x:c>
      <x:c r="H121" s="12" t="n">
        <x:f>IF('Catalogo Ferramenta'!H121="",0,'Catalogo Ferramenta'!H121)</x:f>
        <x:v>81.9</x:v>
      </x:c>
      <x:c r="I121" s="12" t="n">
        <x:f>IF('Catalogo Ferramenta'!I121="",0,'Catalogo Ferramenta'!I121)</x:f>
        <x:v>99.9</x:v>
      </x:c>
      <x:c r="J121" s="14" t="n">
        <x:f>IF('Catalogo Ferramenta'!J121="",22,'Catalogo Ferramenta'!J121)</x:f>
        <x:v>22</x:v>
      </x:c>
      <x:c r="K121" s="14" t="n">
        <x:f>IF('Catalogo Ferramenta'!K121="",0,'Catalogo Ferramenta'!K121)</x:f>
        <x:v>0</x:v>
      </x:c>
      <x:c r="L121" s="14" t="n">
        <x:f>1</x:f>
        <x:v>1</x:v>
      </x:c>
      <x:c r="M121" t="n">
        <x:f>'Catalogo Ferramenta'!L121</x:f>
        <x:v>0</x:v>
      </x:c>
      <x:c r="N121" t="n">
        <x:f>'Catalogo Ferramenta'!M121</x:f>
        <x:v>0</x:v>
      </x:c>
      <x:c r="O121" t="str">
        <x:f>'Catalogo Ferramenta'!N121</x:f>
        <x:v>BLACK+DECKER</x:v>
      </x:c>
      <x:c r="P121" t="str">
        <x:f>'Catalogo Ferramenta'!P121</x:f>
        <x:v>Catalogo Black+Decker Lo Specialista 2026, pagina 71. Prezzi se presenti: raccomandati dal catalogo.</x:v>
      </x:c>
      <x:c r="Q121" s="14" t="n">
        <x:f>'Catalogo Ferramenta'!R121</x:f>
        <x:v>71</x:v>
      </x:c>
      <x:c r="R121" t="str">
        <x:f>'Catalogo Ferramenta'!S121</x:f>
        <x:v>B+D_CATALOGO Lo Specialista 2026.pdf</x:v>
      </x:c>
      <x:c r="S121" s="45" t="b">
        <x:f>AND(D121&lt;&gt;"",B121&lt;&gt;"")</x:f>
        <x:v>1</x:v>
      </x:c>
      <x:c r="T121" t="str">
        <x:f>TEXTJOIN("; ",TRUE,IF(D121="","manca nome",""),IF(B121="","manca barcode",""),IF(H121=0,"prezzo costo da compilare",""),IF(I121=0,"prezzo vendita da compilare",""),IF(K121=0,"quantità da compilare",""))</x:f>
        <x:v>quantità da compilare</x:v>
      </x:c>
    </x:row>
    <x:row r="122">
      <x:c r="A122" t="str">
        <x:f>'Catalogo Ferramenta'!A122</x:f>
        <x:v>BD-0121</x:v>
      </x:c>
      <x:c r="B122" t="str">
        <x:f>'Catalogo Ferramenta'!B122</x:f>
        <x:v>5054905330439</x:v>
      </x:c>
      <x:c r="C122" t="str">
        <x:f>'Catalogo Ferramenta'!C122</x:f>
        <x:v>BDGL2223-QS</x:v>
      </x:c>
      <x:c r="D122" t="str">
        <x:f>'Catalogo Ferramenta'!D122</x:f>
        <x:v>Smerigliatrice angolare 2200W 230mm</x:v>
      </x:c>
      <x:c r="E122" t="str">
        <x:f>'Catalogo Ferramenta'!E122</x:f>
        <x:v>BLACK+DECKER</x:v>
      </x:c>
      <x:c r="F122" t="str">
        <x:f>'Catalogo Ferramenta'!F122</x:f>
        <x:v>ELETTROUTENSILI</x:v>
      </x:c>
      <x:c r="G122" t="str">
        <x:f>'Catalogo Ferramenta'!G122</x:f>
        <x:v>SMERIGLIATRICI</x:v>
      </x:c>
      <x:c r="H122" s="12" t="n">
        <x:f>IF('Catalogo Ferramenta'!H122="",0,'Catalogo Ferramenta'!H122)</x:f>
        <x:v>73.5</x:v>
      </x:c>
      <x:c r="I122" s="12" t="n">
        <x:f>IF('Catalogo Ferramenta'!I122="",0,'Catalogo Ferramenta'!I122)</x:f>
        <x:v>89.7</x:v>
      </x:c>
      <x:c r="J122" s="14" t="n">
        <x:f>IF('Catalogo Ferramenta'!J122="",22,'Catalogo Ferramenta'!J122)</x:f>
        <x:v>22</x:v>
      </x:c>
      <x:c r="K122" s="14" t="n">
        <x:f>IF('Catalogo Ferramenta'!K122="",0,'Catalogo Ferramenta'!K122)</x:f>
        <x:v>0</x:v>
      </x:c>
      <x:c r="L122" s="14" t="n">
        <x:f>1</x:f>
        <x:v>1</x:v>
      </x:c>
      <x:c r="M122" t="n">
        <x:f>'Catalogo Ferramenta'!L122</x:f>
        <x:v>0</x:v>
      </x:c>
      <x:c r="N122" t="n">
        <x:f>'Catalogo Ferramenta'!M122</x:f>
        <x:v>0</x:v>
      </x:c>
      <x:c r="O122" t="str">
        <x:f>'Catalogo Ferramenta'!N122</x:f>
        <x:v>BLACK+DECKER</x:v>
      </x:c>
      <x:c r="P122" t="str">
        <x:f>'Catalogo Ferramenta'!P122</x:f>
        <x:v>Catalogo Black+Decker Lo Specialista 2026, pagina 54. Prezzi se presenti: raccomandati dal catalogo.</x:v>
      </x:c>
      <x:c r="Q122" s="14" t="n">
        <x:f>'Catalogo Ferramenta'!R122</x:f>
        <x:v>54</x:v>
      </x:c>
      <x:c r="R122" t="str">
        <x:f>'Catalogo Ferramenta'!S122</x:f>
        <x:v>B+D_CATALOGO Lo Specialista 2026.pdf</x:v>
      </x:c>
      <x:c r="S122" s="45" t="b">
        <x:f>AND(D122&lt;&gt;"",B122&lt;&gt;"")</x:f>
        <x:v>1</x:v>
      </x:c>
      <x:c r="T122" t="str">
        <x:f>TEXTJOIN("; ",TRUE,IF(D122="","manca nome",""),IF(B122="","manca barcode",""),IF(H122=0,"prezzo costo da compilare",""),IF(I122=0,"prezzo vendita da compilare",""),IF(K122=0,"quantità da compilare",""))</x:f>
        <x:v>quantità da compilare</x:v>
      </x:c>
    </x:row>
    <x:row r="123">
      <x:c r="A123" t="str">
        <x:f>'Catalogo Ferramenta'!A123</x:f>
        <x:v>BD-0122</x:v>
      </x:c>
      <x:c r="B123" t="str">
        <x:f>'Catalogo Ferramenta'!B123</x:f>
        <x:v>5035048810514</x:v>
      </x:c>
      <x:c r="C123" t="str">
        <x:f>'Catalogo Ferramenta'!C123</x:f>
        <x:v>BDL2018S-XJ</x:v>
      </x:c>
      <x:c r="D123" t="str">
        <x:f>'Catalogo Ferramenta'!D123</x:f>
        <x:v>Batteria al Litio 18V - 2.0Ah con indicatore stato di carica</x:v>
      </x:c>
      <x:c r="E123" t="str">
        <x:f>'Catalogo Ferramenta'!E123</x:f>
        <x:v>BLACK+DECKER</x:v>
      </x:c>
      <x:c r="F123" t="str">
        <x:f>'Catalogo Ferramenta'!F123</x:f>
        <x:v>BATTERIE E CARICABATTERIE</x:v>
      </x:c>
      <x:c r="G123" t="str">
        <x:f>'Catalogo Ferramenta'!G123</x:f>
        <x:v>BATTERIE E CARICABATTERIE</x:v>
      </x:c>
      <x:c r="H123" s="12" t="n">
        <x:f>IF('Catalogo Ferramenta'!H123="",0,'Catalogo Ferramenta'!H123)</x:f>
        <x:v>28.1</x:v>
      </x:c>
      <x:c r="I123" s="12" t="n">
        <x:f>IF('Catalogo Ferramenta'!I123="",0,'Catalogo Ferramenta'!I123)</x:f>
        <x:v>34.3</x:v>
      </x:c>
      <x:c r="J123" s="14" t="n">
        <x:f>IF('Catalogo Ferramenta'!J123="",22,'Catalogo Ferramenta'!J123)</x:f>
        <x:v>22</x:v>
      </x:c>
      <x:c r="K123" s="14" t="n">
        <x:f>IF('Catalogo Ferramenta'!K123="",0,'Catalogo Ferramenta'!K123)</x:f>
        <x:v>0</x:v>
      </x:c>
      <x:c r="L123" s="14" t="n">
        <x:f>1</x:f>
        <x:v>1</x:v>
      </x:c>
      <x:c r="M123" t="n">
        <x:f>'Catalogo Ferramenta'!L123</x:f>
        <x:v>0</x:v>
      </x:c>
      <x:c r="N123" t="n">
        <x:f>'Catalogo Ferramenta'!M123</x:f>
        <x:v>0</x:v>
      </x:c>
      <x:c r="O123" t="str">
        <x:f>'Catalogo Ferramenta'!N123</x:f>
        <x:v>BLACK+DECKER</x:v>
      </x:c>
      <x:c r="P123" t="str">
        <x:f>'Catalogo Ferramenta'!P123</x:f>
        <x:v>Catalogo Black+Decker Lo Specialista 2026, pagina 126. Prezzi se presenti: raccomandati dal catalogo.</x:v>
      </x:c>
      <x:c r="Q123" s="14" t="n">
        <x:f>'Catalogo Ferramenta'!R123</x:f>
        <x:v>126</x:v>
      </x:c>
      <x:c r="R123" t="str">
        <x:f>'Catalogo Ferramenta'!S123</x:f>
        <x:v>B+D_CATALOGO Lo Specialista 2026.pdf</x:v>
      </x:c>
      <x:c r="S123" s="45" t="b">
        <x:f>AND(D123&lt;&gt;"",B123&lt;&gt;"")</x:f>
        <x:v>1</x:v>
      </x:c>
      <x:c r="T123" t="str">
        <x:f>TEXTJOIN("; ",TRUE,IF(D123="","manca nome",""),IF(B123="","manca barcode",""),IF(H123=0,"prezzo costo da compilare",""),IF(I123=0,"prezzo vendita da compilare",""),IF(K123=0,"quantità da compilare",""))</x:f>
        <x:v>quantità da compilare</x:v>
      </x:c>
    </x:row>
    <x:row r="124">
      <x:c r="A124" t="str">
        <x:f>'Catalogo Ferramenta'!A124</x:f>
        <x:v>BD-0123</x:v>
      </x:c>
      <x:c r="B124" t="str">
        <x:f>'Catalogo Ferramenta'!B124</x:f>
        <x:v>5035048811245</x:v>
      </x:c>
      <x:c r="C124" t="str">
        <x:f>'Catalogo Ferramenta'!C124</x:f>
        <x:v>BDL2518S-XJ</x:v>
      </x:c>
      <x:c r="D124" t="str">
        <x:f>'Catalogo Ferramenta'!D124</x:f>
        <x:v>Batteria al Litio 18V - 2.5Ah con indicatore stato di carica</x:v>
      </x:c>
      <x:c r="E124" t="str">
        <x:f>'Catalogo Ferramenta'!E124</x:f>
        <x:v>BLACK+DECKER</x:v>
      </x:c>
      <x:c r="F124" t="str">
        <x:f>'Catalogo Ferramenta'!F124</x:f>
        <x:v>BATTERIE E CARICABATTERIE</x:v>
      </x:c>
      <x:c r="G124" t="str">
        <x:f>'Catalogo Ferramenta'!G124</x:f>
        <x:v>BATTERIE E CARICABATTERIE</x:v>
      </x:c>
      <x:c r="H124" s="12" t="n">
        <x:f>IF('Catalogo Ferramenta'!H124="",0,'Catalogo Ferramenta'!H124)</x:f>
        <x:v>32.7</x:v>
      </x:c>
      <x:c r="I124" s="12" t="n">
        <x:f>IF('Catalogo Ferramenta'!I124="",0,'Catalogo Ferramenta'!I124)</x:f>
        <x:v>39.9</x:v>
      </x:c>
      <x:c r="J124" s="14" t="n">
        <x:f>IF('Catalogo Ferramenta'!J124="",22,'Catalogo Ferramenta'!J124)</x:f>
        <x:v>22</x:v>
      </x:c>
      <x:c r="K124" s="14" t="n">
        <x:f>IF('Catalogo Ferramenta'!K124="",0,'Catalogo Ferramenta'!K124)</x:f>
        <x:v>0</x:v>
      </x:c>
      <x:c r="L124" s="14" t="n">
        <x:f>1</x:f>
        <x:v>1</x:v>
      </x:c>
      <x:c r="M124" t="n">
        <x:f>'Catalogo Ferramenta'!L124</x:f>
        <x:v>0</x:v>
      </x:c>
      <x:c r="N124" t="n">
        <x:f>'Catalogo Ferramenta'!M124</x:f>
        <x:v>0</x:v>
      </x:c>
      <x:c r="O124" t="str">
        <x:f>'Catalogo Ferramenta'!N124</x:f>
        <x:v>BLACK+DECKER</x:v>
      </x:c>
      <x:c r="P124" t="str">
        <x:f>'Catalogo Ferramenta'!P124</x:f>
        <x:v>Catalogo Black+Decker Lo Specialista 2026, pagina 126. Prezzi se presenti: raccomandati dal catalogo.</x:v>
      </x:c>
      <x:c r="Q124" s="14" t="n">
        <x:f>'Catalogo Ferramenta'!R124</x:f>
        <x:v>126</x:v>
      </x:c>
      <x:c r="R124" t="str">
        <x:f>'Catalogo Ferramenta'!S124</x:f>
        <x:v>B+D_CATALOGO Lo Specialista 2026.pdf</x:v>
      </x:c>
      <x:c r="S124" s="45" t="b">
        <x:f>AND(D124&lt;&gt;"",B124&lt;&gt;"")</x:f>
        <x:v>1</x:v>
      </x:c>
      <x:c r="T124" t="str">
        <x:f>TEXTJOIN("; ",TRUE,IF(D124="","manca nome",""),IF(B124="","manca barcode",""),IF(H124=0,"prezzo costo da compilare",""),IF(I124=0,"prezzo vendita da compilare",""),IF(K124=0,"quantità da compilare",""))</x:f>
        <x:v>quantità da compilare</x:v>
      </x:c>
    </x:row>
    <x:row r="125">
      <x:c r="A125" t="str">
        <x:f>'Catalogo Ferramenta'!A125</x:f>
        <x:v>BD-0124</x:v>
      </x:c>
      <x:c r="B125" t="str">
        <x:f>'Catalogo Ferramenta'!B125</x:f>
        <x:v>5054905337308</x:v>
      </x:c>
      <x:c r="C125" t="str">
        <x:f>'Catalogo Ferramenta'!C125</x:f>
        <x:v>BDL4018S-XJ</x:v>
      </x:c>
      <x:c r="D125" t="str">
        <x:f>'Catalogo Ferramenta'!D125</x:f>
        <x:v>Batteria al Litio 18V - 4.0Ah con indicatore stato di carica</x:v>
      </x:c>
      <x:c r="E125" t="str">
        <x:f>'Catalogo Ferramenta'!E125</x:f>
        <x:v>BLACK+DECKER</x:v>
      </x:c>
      <x:c r="F125" t="str">
        <x:f>'Catalogo Ferramenta'!F125</x:f>
        <x:v>BATTERIE E CARICABATTERIE</x:v>
      </x:c>
      <x:c r="G125" t="str">
        <x:f>'Catalogo Ferramenta'!G125</x:f>
        <x:v>BATTERIE E CARICABATTERIE</x:v>
      </x:c>
      <x:c r="H125" s="12" t="n">
        <x:f>IF('Catalogo Ferramenta'!H125="",0,'Catalogo Ferramenta'!H125)</x:f>
        <x:v>49.1</x:v>
      </x:c>
      <x:c r="I125" s="12" t="n">
        <x:f>IF('Catalogo Ferramenta'!I125="",0,'Catalogo Ferramenta'!I125)</x:f>
        <x:v>59.9</x:v>
      </x:c>
      <x:c r="J125" s="14" t="n">
        <x:f>IF('Catalogo Ferramenta'!J125="",22,'Catalogo Ferramenta'!J125)</x:f>
        <x:v>22</x:v>
      </x:c>
      <x:c r="K125" s="14" t="n">
        <x:f>IF('Catalogo Ferramenta'!K125="",0,'Catalogo Ferramenta'!K125)</x:f>
        <x:v>0</x:v>
      </x:c>
      <x:c r="L125" s="14" t="n">
        <x:f>1</x:f>
        <x:v>1</x:v>
      </x:c>
      <x:c r="M125" t="n">
        <x:f>'Catalogo Ferramenta'!L125</x:f>
        <x:v>0</x:v>
      </x:c>
      <x:c r="N125" t="n">
        <x:f>'Catalogo Ferramenta'!M125</x:f>
        <x:v>0</x:v>
      </x:c>
      <x:c r="O125" t="str">
        <x:f>'Catalogo Ferramenta'!N125</x:f>
        <x:v>BLACK+DECKER</x:v>
      </x:c>
      <x:c r="P125" t="str">
        <x:f>'Catalogo Ferramenta'!P125</x:f>
        <x:v>Catalogo Black+Decker Lo Specialista 2026, pagina 126. Prezzi se presenti: raccomandati dal catalogo.</x:v>
      </x:c>
      <x:c r="Q125" s="14" t="n">
        <x:f>'Catalogo Ferramenta'!R125</x:f>
        <x:v>126</x:v>
      </x:c>
      <x:c r="R125" t="str">
        <x:f>'Catalogo Ferramenta'!S125</x:f>
        <x:v>B+D_CATALOGO Lo Specialista 2026.pdf</x:v>
      </x:c>
      <x:c r="S125" s="45" t="b">
        <x:f>AND(D125&lt;&gt;"",B125&lt;&gt;"")</x:f>
        <x:v>1</x:v>
      </x:c>
      <x:c r="T125" t="str">
        <x:f>TEXTJOIN("; ",TRUE,IF(D125="","manca nome",""),IF(B125="","manca barcode",""),IF(H125=0,"prezzo costo da compilare",""),IF(I125=0,"prezzo vendita da compilare",""),IF(K125=0,"quantità da compilare",""))</x:f>
        <x:v>quantità da compilare</x:v>
      </x:c>
    </x:row>
    <x:row r="126">
      <x:c r="A126" t="str">
        <x:f>'Catalogo Ferramenta'!A126</x:f>
        <x:v>BD-0125</x:v>
      </x:c>
      <x:c r="B126" t="str">
        <x:f>'Catalogo Ferramenta'!B126</x:f>
        <x:v>5035048840658</x:v>
      </x:c>
      <x:c r="C126" t="str">
        <x:f>'Catalogo Ferramenta'!C126</x:f>
        <x:v>BDL2018S1B-QW</x:v>
      </x:c>
      <x:c r="D126" t="str">
        <x:f>'Catalogo Ferramenta'!D126</x:f>
        <x:v>Starter kit: batteria 18V con indicatore stato di carica + caricabatterie 1A</x:v>
      </x:c>
      <x:c r="E126" t="str">
        <x:f>'Catalogo Ferramenta'!E126</x:f>
        <x:v>BLACK+DECKER</x:v>
      </x:c>
      <x:c r="F126" t="str">
        <x:f>'Catalogo Ferramenta'!F126</x:f>
        <x:v>BATTERIE E CARICABATTERIE</x:v>
      </x:c>
      <x:c r="G126" t="str">
        <x:f>'Catalogo Ferramenta'!G126</x:f>
        <x:v>BATTERIE E CARICABATTERIE</x:v>
      </x:c>
      <x:c r="H126" s="12" t="n">
        <x:f>IF('Catalogo Ferramenta'!H126="",0,'Catalogo Ferramenta'!H126)</x:f>
        <x:v>33.9</x:v>
      </x:c>
      <x:c r="I126" s="12" t="n">
        <x:f>IF('Catalogo Ferramenta'!I126="",0,'Catalogo Ferramenta'!I126)</x:f>
        <x:v>41.4</x:v>
      </x:c>
      <x:c r="J126" s="14" t="n">
        <x:f>IF('Catalogo Ferramenta'!J126="",22,'Catalogo Ferramenta'!J126)</x:f>
        <x:v>22</x:v>
      </x:c>
      <x:c r="K126" s="14" t="n">
        <x:f>IF('Catalogo Ferramenta'!K126="",0,'Catalogo Ferramenta'!K126)</x:f>
        <x:v>0</x:v>
      </x:c>
      <x:c r="L126" s="14" t="n">
        <x:f>1</x:f>
        <x:v>1</x:v>
      </x:c>
      <x:c r="M126" t="n">
        <x:f>'Catalogo Ferramenta'!L126</x:f>
        <x:v>0</x:v>
      </x:c>
      <x:c r="N126" t="n">
        <x:f>'Catalogo Ferramenta'!M126</x:f>
        <x:v>0</x:v>
      </x:c>
      <x:c r="O126" t="str">
        <x:f>'Catalogo Ferramenta'!N126</x:f>
        <x:v>BLACK+DECKER</x:v>
      </x:c>
      <x:c r="P126" t="str">
        <x:f>'Catalogo Ferramenta'!P126</x:f>
        <x:v>Catalogo Black+Decker Lo Specialista 2026, pagina 127. Prezzi se presenti: raccomandati dal catalogo.</x:v>
      </x:c>
      <x:c r="Q126" s="14" t="n">
        <x:f>'Catalogo Ferramenta'!R126</x:f>
        <x:v>127</x:v>
      </x:c>
      <x:c r="R126" t="str">
        <x:f>'Catalogo Ferramenta'!S126</x:f>
        <x:v>B+D_CATALOGO Lo Specialista 2026.pdf</x:v>
      </x:c>
      <x:c r="S126" s="45" t="b">
        <x:f>AND(D126&lt;&gt;"",B126&lt;&gt;"")</x:f>
        <x:v>1</x:v>
      </x:c>
      <x:c r="T126" t="str">
        <x:f>TEXTJOIN("; ",TRUE,IF(D126="","manca nome",""),IF(B126="","manca barcode",""),IF(H126=0,"prezzo costo da compilare",""),IF(I126=0,"prezzo vendita da compilare",""),IF(K126=0,"quantità da compilare",""))</x:f>
        <x:v>quantità da compilare</x:v>
      </x:c>
    </x:row>
    <x:row r="127">
      <x:c r="A127" t="str">
        <x:f>'Catalogo Ferramenta'!A127</x:f>
        <x:v>BD-0126</x:v>
      </x:c>
      <x:c r="B127" t="str">
        <x:f>'Catalogo Ferramenta'!B127</x:f>
        <x:v>5035048710241</x:v>
      </x:c>
      <x:c r="C127" t="str">
        <x:f>'Catalogo Ferramenta'!C127</x:f>
        <x:v>BEBL185-QS</x:v>
      </x:c>
      <x:c r="D127" t="str">
        <x:f>'Catalogo Ferramenta'!D127</x:f>
        <x:v>Soffiatore Assiale a filo 1850W</x:v>
      </x:c>
      <x:c r="E127" t="str">
        <x:f>'Catalogo Ferramenta'!E127</x:f>
        <x:v>BLACK+DECKER</x:v>
      </x:c>
      <x:c r="F127" t="str">
        <x:f>'Catalogo Ferramenta'!F127</x:f>
        <x:v>GAMMA GIARDINO</x:v>
      </x:c>
      <x:c r="G127" t="str">
        <x:f>'Catalogo Ferramenta'!G127</x:f>
        <x:v>SOFFIATORI</x:v>
      </x:c>
      <x:c r="H127" s="12" t="n">
        <x:f>IF('Catalogo Ferramenta'!H127="",0,'Catalogo Ferramenta'!H127)</x:f>
        <x:v>49.5</x:v>
      </x:c>
      <x:c r="I127" s="12" t="n">
        <x:f>IF('Catalogo Ferramenta'!I127="",0,'Catalogo Ferramenta'!I127)</x:f>
        <x:v>60.4</x:v>
      </x:c>
      <x:c r="J127" s="14" t="n">
        <x:f>IF('Catalogo Ferramenta'!J127="",22,'Catalogo Ferramenta'!J127)</x:f>
        <x:v>22</x:v>
      </x:c>
      <x:c r="K127" s="14" t="n">
        <x:f>IF('Catalogo Ferramenta'!K127="",0,'Catalogo Ferramenta'!K127)</x:f>
        <x:v>0</x:v>
      </x:c>
      <x:c r="L127" s="14" t="n">
        <x:f>1</x:f>
        <x:v>1</x:v>
      </x:c>
      <x:c r="M127" t="n">
        <x:f>'Catalogo Ferramenta'!L127</x:f>
        <x:v>0</x:v>
      </x:c>
      <x:c r="N127" t="n">
        <x:f>'Catalogo Ferramenta'!M127</x:f>
        <x:v>0</x:v>
      </x:c>
      <x:c r="O127" t="str">
        <x:f>'Catalogo Ferramenta'!N127</x:f>
        <x:v>BLACK+DECKER</x:v>
      </x:c>
      <x:c r="P127" t="str">
        <x:f>'Catalogo Ferramenta'!P127</x:f>
        <x:v>Catalogo Black+Decker Lo Specialista 2026, pagina 99. Prezzi se presenti: raccomandati dal catalogo.</x:v>
      </x:c>
      <x:c r="Q127" s="14" t="n">
        <x:f>'Catalogo Ferramenta'!R127</x:f>
        <x:v>99</x:v>
      </x:c>
      <x:c r="R127" t="str">
        <x:f>'Catalogo Ferramenta'!S127</x:f>
        <x:v>B+D_CATALOGO Lo Specialista 2026.pdf</x:v>
      </x:c>
      <x:c r="S127" s="45" t="b">
        <x:f>AND(D127&lt;&gt;"",B127&lt;&gt;"")</x:f>
        <x:v>1</x:v>
      </x:c>
      <x:c r="T127" t="str">
        <x:f>TEXTJOIN("; ",TRUE,IF(D127="","manca nome",""),IF(B127="","manca barcode",""),IF(H127=0,"prezzo costo da compilare",""),IF(I127=0,"prezzo vendita da compilare",""),IF(K127=0,"quantità da compilare",""))</x:f>
        <x:v>quantità da compilare</x:v>
      </x:c>
    </x:row>
    <x:row r="128">
      <x:c r="A128" t="str">
        <x:f>'Catalogo Ferramenta'!A128</x:f>
        <x:v>BD-0127</x:v>
      </x:c>
      <x:c r="B128" t="str">
        <x:f>'Catalogo Ferramenta'!B128</x:f>
        <x:v>5035048705124</x:v>
      </x:c>
      <x:c r="C128" t="str">
        <x:f>'Catalogo Ferramenta'!C128</x:f>
        <x:v>BEBLV260-QS</x:v>
      </x:c>
      <x:c r="D128" t="str">
        <x:f>'Catalogo Ferramenta'!D128</x:f>
        <x:v>Soffiatore - Aspiratore - Trituratore a filo 2600W</x:v>
      </x:c>
      <x:c r="E128" t="str">
        <x:f>'Catalogo Ferramenta'!E128</x:f>
        <x:v>BLACK+DECKER</x:v>
      </x:c>
      <x:c r="F128" t="str">
        <x:f>'Catalogo Ferramenta'!F128</x:f>
        <x:v>GAMMA GIARDINO</x:v>
      </x:c>
      <x:c r="G128" t="str">
        <x:f>'Catalogo Ferramenta'!G128</x:f>
        <x:v>SOFFIATORI</x:v>
      </x:c>
      <x:c r="H128" s="12" t="n">
        <x:f>IF('Catalogo Ferramenta'!H128="",0,'Catalogo Ferramenta'!H128)</x:f>
        <x:v>65.6</x:v>
      </x:c>
      <x:c r="I128" s="12" t="n">
        <x:f>IF('Catalogo Ferramenta'!I128="",0,'Catalogo Ferramenta'!I128)</x:f>
        <x:v>80</x:v>
      </x:c>
      <x:c r="J128" s="14" t="n">
        <x:f>IF('Catalogo Ferramenta'!J128="",22,'Catalogo Ferramenta'!J128)</x:f>
        <x:v>22</x:v>
      </x:c>
      <x:c r="K128" s="14" t="n">
        <x:f>IF('Catalogo Ferramenta'!K128="",0,'Catalogo Ferramenta'!K128)</x:f>
        <x:v>0</x:v>
      </x:c>
      <x:c r="L128" s="14" t="n">
        <x:f>1</x:f>
        <x:v>1</x:v>
      </x:c>
      <x:c r="M128" t="n">
        <x:f>'Catalogo Ferramenta'!L128</x:f>
        <x:v>0</x:v>
      </x:c>
      <x:c r="N128" t="n">
        <x:f>'Catalogo Ferramenta'!M128</x:f>
        <x:v>0</x:v>
      </x:c>
      <x:c r="O128" t="str">
        <x:f>'Catalogo Ferramenta'!N128</x:f>
        <x:v>BLACK+DECKER</x:v>
      </x:c>
      <x:c r="P128" t="str">
        <x:f>'Catalogo Ferramenta'!P128</x:f>
        <x:v>Catalogo Black+Decker Lo Specialista 2026, pagina 99. Prezzi se presenti: raccomandati dal catalogo.</x:v>
      </x:c>
      <x:c r="Q128" s="14" t="n">
        <x:f>'Catalogo Ferramenta'!R128</x:f>
        <x:v>99</x:v>
      </x:c>
      <x:c r="R128" t="str">
        <x:f>'Catalogo Ferramenta'!S128</x:f>
        <x:v>B+D_CATALOGO Lo Specialista 2026.pdf</x:v>
      </x:c>
      <x:c r="S128" s="45" t="b">
        <x:f>AND(D128&lt;&gt;"",B128&lt;&gt;"")</x:f>
        <x:v>1</x:v>
      </x:c>
      <x:c r="T128" t="str">
        <x:f>TEXTJOIN("; ",TRUE,IF(D128="","manca nome",""),IF(B128="","manca barcode",""),IF(H128=0,"prezzo costo da compilare",""),IF(I128=0,"prezzo vendita da compilare",""),IF(K128=0,"quantità da compilare",""))</x:f>
        <x:v>quantità da compilare</x:v>
      </x:c>
    </x:row>
    <x:row r="129">
      <x:c r="A129" t="str">
        <x:f>'Catalogo Ferramenta'!A129</x:f>
        <x:v>BD-0128</x:v>
      </x:c>
      <x:c r="B129" t="str">
        <x:f>'Catalogo Ferramenta'!B129</x:f>
        <x:v>5035048705155</x:v>
      </x:c>
      <x:c r="C129" t="str">
        <x:f>'Catalogo Ferramenta'!C129</x:f>
        <x:v>BEBLV290-QS</x:v>
      </x:c>
      <x:c r="D129" t="str">
        <x:f>'Catalogo Ferramenta'!D129</x:f>
        <x:v>Soffiatore - Aspiratore - Trituratore a filo 2900W con zaino</x:v>
      </x:c>
      <x:c r="E129" t="str">
        <x:f>'Catalogo Ferramenta'!E129</x:f>
        <x:v>BLACK+DECKER</x:v>
      </x:c>
      <x:c r="F129" t="str">
        <x:f>'Catalogo Ferramenta'!F129</x:f>
        <x:v>GAMMA GIARDINO</x:v>
      </x:c>
      <x:c r="G129" t="str">
        <x:f>'Catalogo Ferramenta'!G129</x:f>
        <x:v>SOFFIATORI</x:v>
      </x:c>
      <x:c r="H129" s="12" t="n">
        <x:f>IF('Catalogo Ferramenta'!H129="",0,'Catalogo Ferramenta'!H129)</x:f>
        <x:v>81.9</x:v>
      </x:c>
      <x:c r="I129" s="12" t="n">
        <x:f>IF('Catalogo Ferramenta'!I129="",0,'Catalogo Ferramenta'!I129)</x:f>
        <x:v>99.9</x:v>
      </x:c>
      <x:c r="J129" s="14" t="n">
        <x:f>IF('Catalogo Ferramenta'!J129="",22,'Catalogo Ferramenta'!J129)</x:f>
        <x:v>22</x:v>
      </x:c>
      <x:c r="K129" s="14" t="n">
        <x:f>IF('Catalogo Ferramenta'!K129="",0,'Catalogo Ferramenta'!K129)</x:f>
        <x:v>0</x:v>
      </x:c>
      <x:c r="L129" s="14" t="n">
        <x:f>1</x:f>
        <x:v>1</x:v>
      </x:c>
      <x:c r="M129" t="n">
        <x:f>'Catalogo Ferramenta'!L129</x:f>
        <x:v>0</x:v>
      </x:c>
      <x:c r="N129" t="n">
        <x:f>'Catalogo Ferramenta'!M129</x:f>
        <x:v>0</x:v>
      </x:c>
      <x:c r="O129" t="str">
        <x:f>'Catalogo Ferramenta'!N129</x:f>
        <x:v>BLACK+DECKER</x:v>
      </x:c>
      <x:c r="P129" t="str">
        <x:f>'Catalogo Ferramenta'!P129</x:f>
        <x:v>Catalogo Black+Decker Lo Specialista 2026, pagina 100. Prezzi se presenti: raccomandati dal catalogo.</x:v>
      </x:c>
      <x:c r="Q129" s="14" t="n">
        <x:f>'Catalogo Ferramenta'!R129</x:f>
        <x:v>100</x:v>
      </x:c>
      <x:c r="R129" t="str">
        <x:f>'Catalogo Ferramenta'!S129</x:f>
        <x:v>B+D_CATALOGO Lo Specialista 2026.pdf</x:v>
      </x:c>
      <x:c r="S129" s="45" t="b">
        <x:f>AND(D129&lt;&gt;"",B129&lt;&gt;"")</x:f>
        <x:v>1</x:v>
      </x:c>
      <x:c r="T129" t="str">
        <x:f>TEXTJOIN("; ",TRUE,IF(D129="","manca nome",""),IF(B129="","manca barcode",""),IF(H129=0,"prezzo costo da compilare",""),IF(I129=0,"prezzo vendita da compilare",""),IF(K129=0,"quantità da compilare",""))</x:f>
        <x:v>quantità da compilare</x:v>
      </x:c>
    </x:row>
    <x:row r="130">
      <x:c r="A130" t="str">
        <x:f>'Catalogo Ferramenta'!A130</x:f>
        <x:v>BD-0129</x:v>
      </x:c>
      <x:c r="B130" t="str">
        <x:f>'Catalogo Ferramenta'!B130</x:f>
        <x:v>5035048705186</x:v>
      </x:c>
      <x:c r="C130" t="str">
        <x:f>'Catalogo Ferramenta'!C130</x:f>
        <x:v>BEBLV300-QS</x:v>
      </x:c>
      <x:c r="D130" t="str">
        <x:f>'Catalogo Ferramenta'!D130</x:f>
        <x:v>Soffiatore - Aspiratore - Trituratore a filo 3000W con zaino</x:v>
      </x:c>
      <x:c r="E130" t="str">
        <x:f>'Catalogo Ferramenta'!E130</x:f>
        <x:v>BLACK+DECKER</x:v>
      </x:c>
      <x:c r="F130" t="str">
        <x:f>'Catalogo Ferramenta'!F130</x:f>
        <x:v>GAMMA GIARDINO</x:v>
      </x:c>
      <x:c r="G130" t="str">
        <x:f>'Catalogo Ferramenta'!G130</x:f>
        <x:v>SOFFIATORI</x:v>
      </x:c>
      <x:c r="H130" s="12" t="n">
        <x:f>IF('Catalogo Ferramenta'!H130="",0,'Catalogo Ferramenta'!H130)</x:f>
        <x:v>90.1</x:v>
      </x:c>
      <x:c r="I130" s="12" t="n">
        <x:f>IF('Catalogo Ferramenta'!I130="",0,'Catalogo Ferramenta'!I130)</x:f>
        <x:v>109.9</x:v>
      </x:c>
      <x:c r="J130" s="14" t="n">
        <x:f>IF('Catalogo Ferramenta'!J130="",22,'Catalogo Ferramenta'!J130)</x:f>
        <x:v>22</x:v>
      </x:c>
      <x:c r="K130" s="14" t="n">
        <x:f>IF('Catalogo Ferramenta'!K130="",0,'Catalogo Ferramenta'!K130)</x:f>
        <x:v>0</x:v>
      </x:c>
      <x:c r="L130" s="14" t="n">
        <x:f>1</x:f>
        <x:v>1</x:v>
      </x:c>
      <x:c r="M130" t="n">
        <x:f>'Catalogo Ferramenta'!L130</x:f>
        <x:v>0</x:v>
      </x:c>
      <x:c r="N130" t="n">
        <x:f>'Catalogo Ferramenta'!M130</x:f>
        <x:v>0</x:v>
      </x:c>
      <x:c r="O130" t="str">
        <x:f>'Catalogo Ferramenta'!N130</x:f>
        <x:v>BLACK+DECKER</x:v>
      </x:c>
      <x:c r="P130" t="str">
        <x:f>'Catalogo Ferramenta'!P130</x:f>
        <x:v>Catalogo Black+Decker Lo Specialista 2026, pagina 100. Prezzi se presenti: raccomandati dal catalogo.</x:v>
      </x:c>
      <x:c r="Q130" s="14" t="n">
        <x:f>'Catalogo Ferramenta'!R130</x:f>
        <x:v>100</x:v>
      </x:c>
      <x:c r="R130" t="str">
        <x:f>'Catalogo Ferramenta'!S130</x:f>
        <x:v>B+D_CATALOGO Lo Specialista 2026.pdf</x:v>
      </x:c>
      <x:c r="S130" s="45" t="b">
        <x:f>AND(D130&lt;&gt;"",B130&lt;&gt;"")</x:f>
        <x:v>1</x:v>
      </x:c>
      <x:c r="T130" t="str">
        <x:f>TEXTJOIN("; ",TRUE,IF(D130="","manca nome",""),IF(B130="","manca barcode",""),IF(H130=0,"prezzo costo da compilare",""),IF(I130=0,"prezzo vendita da compilare",""),IF(K130=0,"quantità da compilare",""))</x:f>
        <x:v>quantità da compilare</x:v>
      </x:c>
    </x:row>
    <x:row r="131">
      <x:c r="A131" t="str">
        <x:f>'Catalogo Ferramenta'!A131</x:f>
        <x:v>BD-0130</x:v>
      </x:c>
      <x:c r="B131" t="str">
        <x:f>'Catalogo Ferramenta'!B131</x:f>
        <x:v>5035048705216</x:v>
      </x:c>
      <x:c r="C131" t="str">
        <x:f>'Catalogo Ferramenta'!C131</x:f>
        <x:v>BEBLV301-QS</x:v>
      </x:c>
      <x:c r="D131" t="str">
        <x:f>'Catalogo Ferramenta'!D131</x:f>
        <x:v>Soffiatore - Aspiratore - Trituratore a filo 3000W con zaino e raschietto</x:v>
      </x:c>
      <x:c r="E131" t="str">
        <x:f>'Catalogo Ferramenta'!E131</x:f>
        <x:v>BLACK+DECKER</x:v>
      </x:c>
      <x:c r="F131" t="str">
        <x:f>'Catalogo Ferramenta'!F131</x:f>
        <x:v>GAMMA GIARDINO</x:v>
      </x:c>
      <x:c r="G131" t="str">
        <x:f>'Catalogo Ferramenta'!G131</x:f>
        <x:v>SOFFIATORI</x:v>
      </x:c>
      <x:c r="H131" s="12" t="n">
        <x:f>IF('Catalogo Ferramenta'!H131="",0,'Catalogo Ferramenta'!H131)</x:f>
        <x:v>98.4</x:v>
      </x:c>
      <x:c r="I131" s="12" t="n">
        <x:f>IF('Catalogo Ferramenta'!I131="",0,'Catalogo Ferramenta'!I131)</x:f>
        <x:v>120</x:v>
      </x:c>
      <x:c r="J131" s="14" t="n">
        <x:f>IF('Catalogo Ferramenta'!J131="",22,'Catalogo Ferramenta'!J131)</x:f>
        <x:v>22</x:v>
      </x:c>
      <x:c r="K131" s="14" t="n">
        <x:f>IF('Catalogo Ferramenta'!K131="",0,'Catalogo Ferramenta'!K131)</x:f>
        <x:v>0</x:v>
      </x:c>
      <x:c r="L131" s="14" t="n">
        <x:f>1</x:f>
        <x:v>1</x:v>
      </x:c>
      <x:c r="M131" t="n">
        <x:f>'Catalogo Ferramenta'!L131</x:f>
        <x:v>0</x:v>
      </x:c>
      <x:c r="N131" t="n">
        <x:f>'Catalogo Ferramenta'!M131</x:f>
        <x:v>0</x:v>
      </x:c>
      <x:c r="O131" t="str">
        <x:f>'Catalogo Ferramenta'!N131</x:f>
        <x:v>BLACK+DECKER</x:v>
      </x:c>
      <x:c r="P131" t="str">
        <x:f>'Catalogo Ferramenta'!P131</x:f>
        <x:v>Catalogo Black+Decker Lo Specialista 2026, pagina 101. Prezzi se presenti: raccomandati dal catalogo.</x:v>
      </x:c>
      <x:c r="Q131" s="14" t="n">
        <x:f>'Catalogo Ferramenta'!R131</x:f>
        <x:v>101</x:v>
      </x:c>
      <x:c r="R131" t="str">
        <x:f>'Catalogo Ferramenta'!S131</x:f>
        <x:v>B+D_CATALOGO Lo Specialista 2026.pdf</x:v>
      </x:c>
      <x:c r="S131" s="45" t="b">
        <x:f>AND(D131&lt;&gt;"",B131&lt;&gt;"")</x:f>
        <x:v>1</x:v>
      </x:c>
      <x:c r="T131" t="str">
        <x:f>TEXTJOIN("; ",TRUE,IF(D131="","manca nome",""),IF(B131="","manca barcode",""),IF(H131=0,"prezzo costo da compilare",""),IF(I131=0,"prezzo vendita da compilare",""),IF(K131=0,"quantità da compilare",""))</x:f>
        <x:v>quantità da compilare</x:v>
      </x:c>
    </x:row>
    <x:row r="132">
      <x:c r="A132" t="str">
        <x:f>'Catalogo Ferramenta'!A132</x:f>
        <x:v>BD-0131</x:v>
      </x:c>
      <x:c r="B132" t="str">
        <x:f>'Catalogo Ferramenta'!B132</x:f>
        <x:v>5035048808245</x:v>
      </x:c>
      <x:c r="C132" t="str">
        <x:f>'Catalogo Ferramenta'!C132</x:f>
        <x:v>BECS1835-QS</x:v>
      </x:c>
      <x:c r="D132" t="str">
        <x:f>'Catalogo Ferramenta'!D132</x:f>
        <x:v>Elettrosega a filo 1800W</x:v>
      </x:c>
      <x:c r="E132" t="str">
        <x:f>'Catalogo Ferramenta'!E132</x:f>
        <x:v>BLACK+DECKER</x:v>
      </x:c>
      <x:c r="F132" t="str">
        <x:f>'Catalogo Ferramenta'!F132</x:f>
        <x:v>GAMMA GIARDINO</x:v>
      </x:c>
      <x:c r="G132" t="str">
        <x:f>'Catalogo Ferramenta'!G132</x:f>
        <x:v>ELETTROSEGHE E POTATORI</x:v>
      </x:c>
      <x:c r="H132" s="12" t="n">
        <x:f>IF('Catalogo Ferramenta'!H132="",0,'Catalogo Ferramenta'!H132)</x:f>
        <x:v>82.1</x:v>
      </x:c>
      <x:c r="I132" s="12" t="n">
        <x:f>IF('Catalogo Ferramenta'!I132="",0,'Catalogo Ferramenta'!I132)</x:f>
        <x:v>100.2</x:v>
      </x:c>
      <x:c r="J132" s="14" t="n">
        <x:f>IF('Catalogo Ferramenta'!J132="",22,'Catalogo Ferramenta'!J132)</x:f>
        <x:v>22</x:v>
      </x:c>
      <x:c r="K132" s="14" t="n">
        <x:f>IF('Catalogo Ferramenta'!K132="",0,'Catalogo Ferramenta'!K132)</x:f>
        <x:v>0</x:v>
      </x:c>
      <x:c r="L132" s="14" t="n">
        <x:f>1</x:f>
        <x:v>1</x:v>
      </x:c>
      <x:c r="M132" t="n">
        <x:f>'Catalogo Ferramenta'!L132</x:f>
        <x:v>0</x:v>
      </x:c>
      <x:c r="N132" t="n">
        <x:f>'Catalogo Ferramenta'!M132</x:f>
        <x:v>0</x:v>
      </x:c>
      <x:c r="O132" t="str">
        <x:f>'Catalogo Ferramenta'!N132</x:f>
        <x:v>BLACK+DECKER</x:v>
      </x:c>
      <x:c r="P132" t="str">
        <x:f>'Catalogo Ferramenta'!P132</x:f>
        <x:v>Catalogo Black+Decker Lo Specialista 2026, pagina 104. Prezzi se presenti: raccomandati dal catalogo.</x:v>
      </x:c>
      <x:c r="Q132" s="14" t="n">
        <x:f>'Catalogo Ferramenta'!R132</x:f>
        <x:v>104</x:v>
      </x:c>
      <x:c r="R132" t="str">
        <x:f>'Catalogo Ferramenta'!S132</x:f>
        <x:v>B+D_CATALOGO Lo Specialista 2026.pdf</x:v>
      </x:c>
      <x:c r="S132" s="45" t="b">
        <x:f>AND(D132&lt;&gt;"",B132&lt;&gt;"")</x:f>
        <x:v>1</x:v>
      </x:c>
      <x:c r="T132" t="str">
        <x:f>TEXTJOIN("; ",TRUE,IF(D132="","manca nome",""),IF(B132="","manca barcode",""),IF(H132=0,"prezzo costo da compilare",""),IF(I132=0,"prezzo vendita da compilare",""),IF(K132=0,"quantità da compilare",""))</x:f>
        <x:v>quantità da compilare</x:v>
      </x:c>
    </x:row>
    <x:row r="133">
      <x:c r="A133" t="str">
        <x:f>'Catalogo Ferramenta'!A133</x:f>
        <x:v>BD-0132</x:v>
      </x:c>
      <x:c r="B133" t="str">
        <x:f>'Catalogo Ferramenta'!B133</x:f>
        <x:v>5035048808269</x:v>
      </x:c>
      <x:c r="C133" t="str">
        <x:f>'Catalogo Ferramenta'!C133</x:f>
        <x:v>BECS2040-QS</x:v>
      </x:c>
      <x:c r="D133" t="str">
        <x:f>'Catalogo Ferramenta'!D133</x:f>
        <x:v>Elettrosega a filo 2000W</x:v>
      </x:c>
      <x:c r="E133" t="str">
        <x:f>'Catalogo Ferramenta'!E133</x:f>
        <x:v>BLACK+DECKER</x:v>
      </x:c>
      <x:c r="F133" t="str">
        <x:f>'Catalogo Ferramenta'!F133</x:f>
        <x:v>GAMMA GIARDINO</x:v>
      </x:c>
      <x:c r="G133" t="str">
        <x:f>'Catalogo Ferramenta'!G133</x:f>
        <x:v>ELETTROSEGHE E POTATORI</x:v>
      </x:c>
      <x:c r="H133" s="12" t="n">
        <x:f>IF('Catalogo Ferramenta'!H133="",0,'Catalogo Ferramenta'!H133)</x:f>
        <x:v>98.3</x:v>
      </x:c>
      <x:c r="I133" s="12" t="n">
        <x:f>IF('Catalogo Ferramenta'!I133="",0,'Catalogo Ferramenta'!I133)</x:f>
        <x:v>119.9</x:v>
      </x:c>
      <x:c r="J133" s="14" t="n">
        <x:f>IF('Catalogo Ferramenta'!J133="",22,'Catalogo Ferramenta'!J133)</x:f>
        <x:v>22</x:v>
      </x:c>
      <x:c r="K133" s="14" t="n">
        <x:f>IF('Catalogo Ferramenta'!K133="",0,'Catalogo Ferramenta'!K133)</x:f>
        <x:v>0</x:v>
      </x:c>
      <x:c r="L133" s="14" t="n">
        <x:f>1</x:f>
        <x:v>1</x:v>
      </x:c>
      <x:c r="M133" t="n">
        <x:f>'Catalogo Ferramenta'!L133</x:f>
        <x:v>0</x:v>
      </x:c>
      <x:c r="N133" t="n">
        <x:f>'Catalogo Ferramenta'!M133</x:f>
        <x:v>0</x:v>
      </x:c>
      <x:c r="O133" t="str">
        <x:f>'Catalogo Ferramenta'!N133</x:f>
        <x:v>BLACK+DECKER</x:v>
      </x:c>
      <x:c r="P133" t="str">
        <x:f>'Catalogo Ferramenta'!P133</x:f>
        <x:v>Catalogo Black+Decker Lo Specialista 2026, pagina 104. Prezzi se presenti: raccomandati dal catalogo.</x:v>
      </x:c>
      <x:c r="Q133" s="14" t="n">
        <x:f>'Catalogo Ferramenta'!R133</x:f>
        <x:v>104</x:v>
      </x:c>
      <x:c r="R133" t="str">
        <x:f>'Catalogo Ferramenta'!S133</x:f>
        <x:v>B+D_CATALOGO Lo Specialista 2026.pdf</x:v>
      </x:c>
      <x:c r="S133" s="45" t="b">
        <x:f>AND(D133&lt;&gt;"",B133&lt;&gt;"")</x:f>
        <x:v>1</x:v>
      </x:c>
      <x:c r="T133" t="str">
        <x:f>TEXTJOIN("; ",TRUE,IF(D133="","manca nome",""),IF(B133="","manca barcode",""),IF(H133=0,"prezzo costo da compilare",""),IF(I133=0,"prezzo vendita da compilare",""),IF(K133=0,"quantità da compilare",""))</x:f>
        <x:v>quantità da compilare</x:v>
      </x:c>
    </x:row>
    <x:row r="134">
      <x:c r="A134" t="str">
        <x:f>'Catalogo Ferramenta'!A134</x:f>
        <x:v>BD-0133</x:v>
      </x:c>
      <x:c r="B134" t="str">
        <x:f>'Catalogo Ferramenta'!B134</x:f>
        <x:v>5035048808283</x:v>
      </x:c>
      <x:c r="C134" t="str">
        <x:f>'Catalogo Ferramenta'!C134</x:f>
        <x:v>BECS2245-QS</x:v>
      </x:c>
      <x:c r="D134" t="str">
        <x:f>'Catalogo Ferramenta'!D134</x:f>
        <x:v>Elettrosega a filo 2200W</x:v>
      </x:c>
      <x:c r="E134" t="str">
        <x:f>'Catalogo Ferramenta'!E134</x:f>
        <x:v>BLACK+DECKER</x:v>
      </x:c>
      <x:c r="F134" t="str">
        <x:f>'Catalogo Ferramenta'!F134</x:f>
        <x:v>GAMMA GIARDINO</x:v>
      </x:c>
      <x:c r="G134" t="str">
        <x:f>'Catalogo Ferramenta'!G134</x:f>
        <x:v>ELETTROSEGHE E POTATORI</x:v>
      </x:c>
      <x:c r="H134" s="12" t="n">
        <x:f>IF('Catalogo Ferramenta'!H134="",0,'Catalogo Ferramenta'!H134)</x:f>
        <x:v>114.6</x:v>
      </x:c>
      <x:c r="I134" s="12" t="n">
        <x:f>IF('Catalogo Ferramenta'!I134="",0,'Catalogo Ferramenta'!I134)</x:f>
        <x:v>139.8</x:v>
      </x:c>
      <x:c r="J134" s="14" t="n">
        <x:f>IF('Catalogo Ferramenta'!J134="",22,'Catalogo Ferramenta'!J134)</x:f>
        <x:v>22</x:v>
      </x:c>
      <x:c r="K134" s="14" t="n">
        <x:f>IF('Catalogo Ferramenta'!K134="",0,'Catalogo Ferramenta'!K134)</x:f>
        <x:v>0</x:v>
      </x:c>
      <x:c r="L134" s="14" t="n">
        <x:f>1</x:f>
        <x:v>1</x:v>
      </x:c>
      <x:c r="M134" t="n">
        <x:f>'Catalogo Ferramenta'!L134</x:f>
        <x:v>0</x:v>
      </x:c>
      <x:c r="N134" t="n">
        <x:f>'Catalogo Ferramenta'!M134</x:f>
        <x:v>0</x:v>
      </x:c>
      <x:c r="O134" t="str">
        <x:f>'Catalogo Ferramenta'!N134</x:f>
        <x:v>BLACK+DECKER</x:v>
      </x:c>
      <x:c r="P134" t="str">
        <x:f>'Catalogo Ferramenta'!P134</x:f>
        <x:v>Catalogo Black+Decker Lo Specialista 2026, pagina 105. Prezzi se presenti: raccomandati dal catalogo.</x:v>
      </x:c>
      <x:c r="Q134" s="14" t="n">
        <x:f>'Catalogo Ferramenta'!R134</x:f>
        <x:v>105</x:v>
      </x:c>
      <x:c r="R134" t="str">
        <x:f>'Catalogo Ferramenta'!S134</x:f>
        <x:v>B+D_CATALOGO Lo Specialista 2026.pdf</x:v>
      </x:c>
      <x:c r="S134" s="45" t="b">
        <x:f>AND(D134&lt;&gt;"",B134&lt;&gt;"")</x:f>
        <x:v>1</x:v>
      </x:c>
      <x:c r="T134" t="str">
        <x:f>TEXTJOIN("; ",TRUE,IF(D134="","manca nome",""),IF(B134="","manca barcode",""),IF(H134=0,"prezzo costo da compilare",""),IF(I134=0,"prezzo vendita da compilare",""),IF(K134=0,"quantità da compilare",""))</x:f>
        <x:v>quantità da compilare</x:v>
      </x:c>
    </x:row>
    <x:row r="135">
      <x:c r="A135" t="str">
        <x:f>'Catalogo Ferramenta'!A135</x:f>
        <x:v>BD-0134</x:v>
      </x:c>
      <x:c r="B135" t="str">
        <x:f>'Catalogo Ferramenta'!B135</x:f>
        <x:v>5035048704295</x:v>
      </x:c>
      <x:c r="C135" t="str">
        <x:f>'Catalogo Ferramenta'!C135</x:f>
        <x:v>BEG010-QS</x:v>
      </x:c>
      <x:c r="D135" t="str">
        <x:f>'Catalogo Ferramenta'!D135</x:f>
        <x:v>Smerigliatrice angolare 710W-115mm</x:v>
      </x:c>
      <x:c r="E135" t="str">
        <x:f>'Catalogo Ferramenta'!E135</x:f>
        <x:v>BLACK+DECKER</x:v>
      </x:c>
      <x:c r="F135" t="str">
        <x:f>'Catalogo Ferramenta'!F135</x:f>
        <x:v>ELETTROUTENSILI</x:v>
      </x:c>
      <x:c r="G135" t="str">
        <x:f>'Catalogo Ferramenta'!G135</x:f>
        <x:v>SMERIGLIATRICI</x:v>
      </x:c>
      <x:c r="H135" s="12" t="n">
        <x:f>IF('Catalogo Ferramenta'!H135="",0,'Catalogo Ferramenta'!H135)</x:f>
        <x:v>28.8</x:v>
      </x:c>
      <x:c r="I135" s="12" t="n">
        <x:f>IF('Catalogo Ferramenta'!I135="",0,'Catalogo Ferramenta'!I135)</x:f>
        <x:v>35.1</x:v>
      </x:c>
      <x:c r="J135" s="14" t="n">
        <x:f>IF('Catalogo Ferramenta'!J135="",22,'Catalogo Ferramenta'!J135)</x:f>
        <x:v>22</x:v>
      </x:c>
      <x:c r="K135" s="14" t="n">
        <x:f>IF('Catalogo Ferramenta'!K135="",0,'Catalogo Ferramenta'!K135)</x:f>
        <x:v>0</x:v>
      </x:c>
      <x:c r="L135" s="14" t="n">
        <x:f>1</x:f>
        <x:v>1</x:v>
      </x:c>
      <x:c r="M135" t="n">
        <x:f>'Catalogo Ferramenta'!L135</x:f>
        <x:v>0</x:v>
      </x:c>
      <x:c r="N135" t="n">
        <x:f>'Catalogo Ferramenta'!M135</x:f>
        <x:v>0</x:v>
      </x:c>
      <x:c r="O135" t="str">
        <x:f>'Catalogo Ferramenta'!N135</x:f>
        <x:v>BLACK+DECKER</x:v>
      </x:c>
      <x:c r="P135" t="str">
        <x:f>'Catalogo Ferramenta'!P135</x:f>
        <x:v>Catalogo Black+Decker Lo Specialista 2026, pagina 52. Prezzi se presenti: raccomandati dal catalogo.</x:v>
      </x:c>
      <x:c r="Q135" s="14" t="n">
        <x:f>'Catalogo Ferramenta'!R135</x:f>
        <x:v>52</x:v>
      </x:c>
      <x:c r="R135" t="str">
        <x:f>'Catalogo Ferramenta'!S135</x:f>
        <x:v>B+D_CATALOGO Lo Specialista 2026.pdf</x:v>
      </x:c>
      <x:c r="S135" s="45" t="b">
        <x:f>AND(D135&lt;&gt;"",B135&lt;&gt;"")</x:f>
        <x:v>1</x:v>
      </x:c>
      <x:c r="T135" t="str">
        <x:f>TEXTJOIN("; ",TRUE,IF(D135="","manca nome",""),IF(B135="","manca barcode",""),IF(H135=0,"prezzo costo da compilare",""),IF(I135=0,"prezzo vendita da compilare",""),IF(K135=0,"quantità da compilare",""))</x:f>
        <x:v>quantità da compilare</x:v>
      </x:c>
    </x:row>
    <x:row r="136">
      <x:c r="A136" t="str">
        <x:f>'Catalogo Ferramenta'!A136</x:f>
        <x:v>BD-0135</x:v>
      </x:c>
      <x:c r="B136" t="str">
        <x:f>'Catalogo Ferramenta'!B136</x:f>
        <x:v>5035048677384</x:v>
      </x:c>
      <x:c r="C136" t="str">
        <x:f>'Catalogo Ferramenta'!C136</x:f>
        <x:v>BEG210-QS</x:v>
      </x:c>
      <x:c r="D136" t="str">
        <x:f>'Catalogo Ferramenta'!D136</x:f>
        <x:v>Smerigliatrice angolare 900W-115mm</x:v>
      </x:c>
      <x:c r="E136" t="str">
        <x:f>'Catalogo Ferramenta'!E136</x:f>
        <x:v>BLACK+DECKER</x:v>
      </x:c>
      <x:c r="F136" t="str">
        <x:f>'Catalogo Ferramenta'!F136</x:f>
        <x:v>ELETTROUTENSILI</x:v>
      </x:c>
      <x:c r="G136" t="str">
        <x:f>'Catalogo Ferramenta'!G136</x:f>
        <x:v>SMERIGLIATRICI</x:v>
      </x:c>
      <x:c r="H136" s="12" t="n">
        <x:f>IF('Catalogo Ferramenta'!H136="",0,'Catalogo Ferramenta'!H136)</x:f>
        <x:v>32.7</x:v>
      </x:c>
      <x:c r="I136" s="12" t="n">
        <x:f>IF('Catalogo Ferramenta'!I136="",0,'Catalogo Ferramenta'!I136)</x:f>
        <x:v>39.9</x:v>
      </x:c>
      <x:c r="J136" s="14" t="n">
        <x:f>IF('Catalogo Ferramenta'!J136="",22,'Catalogo Ferramenta'!J136)</x:f>
        <x:v>22</x:v>
      </x:c>
      <x:c r="K136" s="14" t="n">
        <x:f>IF('Catalogo Ferramenta'!K136="",0,'Catalogo Ferramenta'!K136)</x:f>
        <x:v>0</x:v>
      </x:c>
      <x:c r="L136" s="14" t="n">
        <x:f>1</x:f>
        <x:v>1</x:v>
      </x:c>
      <x:c r="M136" t="n">
        <x:f>'Catalogo Ferramenta'!L136</x:f>
        <x:v>0</x:v>
      </x:c>
      <x:c r="N136" t="n">
        <x:f>'Catalogo Ferramenta'!M136</x:f>
        <x:v>0</x:v>
      </x:c>
      <x:c r="O136" t="str">
        <x:f>'Catalogo Ferramenta'!N136</x:f>
        <x:v>BLACK+DECKER</x:v>
      </x:c>
      <x:c r="P136" t="str">
        <x:f>'Catalogo Ferramenta'!P136</x:f>
        <x:v>Catalogo Black+Decker Lo Specialista 2026, pagina 52. Prezzi se presenti: raccomandati dal catalogo.</x:v>
      </x:c>
      <x:c r="Q136" s="14" t="n">
        <x:f>'Catalogo Ferramenta'!R136</x:f>
        <x:v>52</x:v>
      </x:c>
      <x:c r="R136" t="str">
        <x:f>'Catalogo Ferramenta'!S136</x:f>
        <x:v>B+D_CATALOGO Lo Specialista 2026.pdf</x:v>
      </x:c>
      <x:c r="S136" s="45" t="b">
        <x:f>AND(D136&lt;&gt;"",B136&lt;&gt;"")</x:f>
        <x:v>1</x:v>
      </x:c>
      <x:c r="T136" t="str">
        <x:f>TEXTJOIN("; ",TRUE,IF(D136="","manca nome",""),IF(B136="","manca barcode",""),IF(H136=0,"prezzo costo da compilare",""),IF(I136=0,"prezzo vendita da compilare",""),IF(K136=0,"quantità da compilare",""))</x:f>
        <x:v>quantità da compilare</x:v>
      </x:c>
    </x:row>
    <x:row r="137">
      <x:c r="A137" t="str">
        <x:f>'Catalogo Ferramenta'!A137</x:f>
        <x:v>BD-0136</x:v>
      </x:c>
      <x:c r="B137" t="str">
        <x:f>'Catalogo Ferramenta'!B137</x:f>
        <x:v>5035048677391</x:v>
      </x:c>
      <x:c r="C137" t="str">
        <x:f>'Catalogo Ferramenta'!C137</x:f>
        <x:v>BEG210K-QS</x:v>
      </x:c>
      <x:c r="D137" t="str">
        <x:f>'Catalogo Ferramenta'!D137</x:f>
        <x:v>Smerigliatrice angolare 900W-115mm in valigetta</x:v>
      </x:c>
      <x:c r="E137" t="str">
        <x:f>'Catalogo Ferramenta'!E137</x:f>
        <x:v>BLACK+DECKER</x:v>
      </x:c>
      <x:c r="F137" t="str">
        <x:f>'Catalogo Ferramenta'!F137</x:f>
        <x:v>ELETTROUTENSILI</x:v>
      </x:c>
      <x:c r="G137" t="str">
        <x:f>'Catalogo Ferramenta'!G137</x:f>
        <x:v>SMERIGLIATRICI</x:v>
      </x:c>
      <x:c r="H137" s="12" t="n">
        <x:f>IF('Catalogo Ferramenta'!H137="",0,'Catalogo Ferramenta'!H137)</x:f>
        <x:v>40.9</x:v>
      </x:c>
      <x:c r="I137" s="12" t="n">
        <x:f>IF('Catalogo Ferramenta'!I137="",0,'Catalogo Ferramenta'!I137)</x:f>
        <x:v>49.9</x:v>
      </x:c>
      <x:c r="J137" s="14" t="n">
        <x:f>IF('Catalogo Ferramenta'!J137="",22,'Catalogo Ferramenta'!J137)</x:f>
        <x:v>22</x:v>
      </x:c>
      <x:c r="K137" s="14" t="n">
        <x:f>IF('Catalogo Ferramenta'!K137="",0,'Catalogo Ferramenta'!K137)</x:f>
        <x:v>0</x:v>
      </x:c>
      <x:c r="L137" s="14" t="n">
        <x:f>1</x:f>
        <x:v>1</x:v>
      </x:c>
      <x:c r="M137" t="n">
        <x:f>'Catalogo Ferramenta'!L137</x:f>
        <x:v>0</x:v>
      </x:c>
      <x:c r="N137" t="n">
        <x:f>'Catalogo Ferramenta'!M137</x:f>
        <x:v>0</x:v>
      </x:c>
      <x:c r="O137" t="str">
        <x:f>'Catalogo Ferramenta'!N137</x:f>
        <x:v>BLACK+DECKER</x:v>
      </x:c>
      <x:c r="P137" t="str">
        <x:f>'Catalogo Ferramenta'!P137</x:f>
        <x:v>Catalogo Black+Decker Lo Specialista 2026, pagina 52. Prezzi se presenti: raccomandati dal catalogo.</x:v>
      </x:c>
      <x:c r="Q137" s="14" t="n">
        <x:f>'Catalogo Ferramenta'!R137</x:f>
        <x:v>52</x:v>
      </x:c>
      <x:c r="R137" t="str">
        <x:f>'Catalogo Ferramenta'!S137</x:f>
        <x:v>B+D_CATALOGO Lo Specialista 2026.pdf</x:v>
      </x:c>
      <x:c r="S137" s="45" t="b">
        <x:f>AND(D137&lt;&gt;"",B137&lt;&gt;"")</x:f>
        <x:v>1</x:v>
      </x:c>
      <x:c r="T137" t="str">
        <x:f>TEXTJOIN("; ",TRUE,IF(D137="","manca nome",""),IF(B137="","manca barcode",""),IF(H137=0,"prezzo costo da compilare",""),IF(I137=0,"prezzo vendita da compilare",""),IF(K137=0,"quantità da compilare",""))</x:f>
        <x:v>quantità da compilare</x:v>
      </x:c>
    </x:row>
    <x:row r="138">
      <x:c r="A138" t="str">
        <x:f>'Catalogo Ferramenta'!A138</x:f>
        <x:v>BD-0137</x:v>
      </x:c>
      <x:c r="B138" t="str">
        <x:f>'Catalogo Ferramenta'!B138</x:f>
        <x:v>5035048677421</x:v>
      </x:c>
      <x:c r="C138" t="str">
        <x:f>'Catalogo Ferramenta'!C138</x:f>
        <x:v>BEG220-QS</x:v>
      </x:c>
      <x:c r="D138" t="str">
        <x:f>'Catalogo Ferramenta'!D138</x:f>
        <x:v>Smerigliatrice angolare 900W-125mm</x:v>
      </x:c>
      <x:c r="E138" t="str">
        <x:f>'Catalogo Ferramenta'!E138</x:f>
        <x:v>BLACK+DECKER</x:v>
      </x:c>
      <x:c r="F138" t="str">
        <x:f>'Catalogo Ferramenta'!F138</x:f>
        <x:v>ELETTROUTENSILI</x:v>
      </x:c>
      <x:c r="G138" t="str">
        <x:f>'Catalogo Ferramenta'!G138</x:f>
        <x:v>SMERIGLIATRICI</x:v>
      </x:c>
      <x:c r="H138" s="12" t="n">
        <x:f>IF('Catalogo Ferramenta'!H138="",0,'Catalogo Ferramenta'!H138)</x:f>
        <x:v>36.8</x:v>
      </x:c>
      <x:c r="I138" s="12" t="n">
        <x:f>IF('Catalogo Ferramenta'!I138="",0,'Catalogo Ferramenta'!I138)</x:f>
        <x:v>44.9</x:v>
      </x:c>
      <x:c r="J138" s="14" t="n">
        <x:f>IF('Catalogo Ferramenta'!J138="",22,'Catalogo Ferramenta'!J138)</x:f>
        <x:v>22</x:v>
      </x:c>
      <x:c r="K138" s="14" t="n">
        <x:f>IF('Catalogo Ferramenta'!K138="",0,'Catalogo Ferramenta'!K138)</x:f>
        <x:v>0</x:v>
      </x:c>
      <x:c r="L138" s="14" t="n">
        <x:f>1</x:f>
        <x:v>1</x:v>
      </x:c>
      <x:c r="M138" t="n">
        <x:f>'Catalogo Ferramenta'!L138</x:f>
        <x:v>0</x:v>
      </x:c>
      <x:c r="N138" t="n">
        <x:f>'Catalogo Ferramenta'!M138</x:f>
        <x:v>0</x:v>
      </x:c>
      <x:c r="O138" t="str">
        <x:f>'Catalogo Ferramenta'!N138</x:f>
        <x:v>BLACK+DECKER</x:v>
      </x:c>
      <x:c r="P138" t="str">
        <x:f>'Catalogo Ferramenta'!P138</x:f>
        <x:v>Catalogo Black+Decker Lo Specialista 2026, pagina 53. Prezzi se presenti: raccomandati dal catalogo.</x:v>
      </x:c>
      <x:c r="Q138" s="14" t="n">
        <x:f>'Catalogo Ferramenta'!R138</x:f>
        <x:v>53</x:v>
      </x:c>
      <x:c r="R138" t="str">
        <x:f>'Catalogo Ferramenta'!S138</x:f>
        <x:v>B+D_CATALOGO Lo Specialista 2026.pdf</x:v>
      </x:c>
      <x:c r="S138" s="45" t="b">
        <x:f>AND(D138&lt;&gt;"",B138&lt;&gt;"")</x:f>
        <x:v>1</x:v>
      </x:c>
      <x:c r="T138" t="str">
        <x:f>TEXTJOIN("; ",TRUE,IF(D138="","manca nome",""),IF(B138="","manca barcode",""),IF(H138=0,"prezzo costo da compilare",""),IF(I138=0,"prezzo vendita da compilare",""),IF(K138=0,"quantità da compilare",""))</x:f>
        <x:v>quantità da compilare</x:v>
      </x:c>
    </x:row>
    <x:row r="139">
      <x:c r="A139" t="str">
        <x:f>'Catalogo Ferramenta'!A139</x:f>
        <x:v>BD-0138</x:v>
      </x:c>
      <x:c r="B139" t="str">
        <x:f>'Catalogo Ferramenta'!B139</x:f>
        <x:v>5035048706824</x:v>
      </x:c>
      <x:c r="C139" t="str">
        <x:f>'Catalogo Ferramenta'!C139</x:f>
        <x:v>BEGAS5800-QS</x:v>
      </x:c>
      <x:c r="D139" t="str">
        <x:f>'Catalogo Ferramenta'!D139</x:f>
        <x:v>Biotrituratore 2800W</x:v>
      </x:c>
      <x:c r="E139" t="str">
        <x:f>'Catalogo Ferramenta'!E139</x:f>
        <x:v>BLACK+DECKER</x:v>
      </x:c>
      <x:c r="F139" t="str">
        <x:f>'Catalogo Ferramenta'!F139</x:f>
        <x:v>GAMMA GIARDINO</x:v>
      </x:c>
      <x:c r="G139" t="str">
        <x:f>'Catalogo Ferramenta'!G139</x:f>
        <x:v>ALTRI UTENSILI DA GIARDINO</x:v>
      </x:c>
      <x:c r="H139" s="12" t="n">
        <x:f>IF('Catalogo Ferramenta'!H139="",0,'Catalogo Ferramenta'!H139)</x:f>
        <x:v>245.9</x:v>
      </x:c>
      <x:c r="I139" s="12" t="n">
        <x:f>IF('Catalogo Ferramenta'!I139="",0,'Catalogo Ferramenta'!I139)</x:f>
        <x:v>300</x:v>
      </x:c>
      <x:c r="J139" s="14" t="n">
        <x:f>IF('Catalogo Ferramenta'!J139="",22,'Catalogo Ferramenta'!J139)</x:f>
        <x:v>22</x:v>
      </x:c>
      <x:c r="K139" s="14" t="n">
        <x:f>IF('Catalogo Ferramenta'!K139="",0,'Catalogo Ferramenta'!K139)</x:f>
        <x:v>0</x:v>
      </x:c>
      <x:c r="L139" s="14" t="n">
        <x:f>1</x:f>
        <x:v>1</x:v>
      </x:c>
      <x:c r="M139" t="n">
        <x:f>'Catalogo Ferramenta'!L139</x:f>
        <x:v>0</x:v>
      </x:c>
      <x:c r="N139" t="n">
        <x:f>'Catalogo Ferramenta'!M139</x:f>
        <x:v>0</x:v>
      </x:c>
      <x:c r="O139" t="str">
        <x:f>'Catalogo Ferramenta'!N139</x:f>
        <x:v>BLACK+DECKER</x:v>
      </x:c>
      <x:c r="P139" t="str">
        <x:f>'Catalogo Ferramenta'!P139</x:f>
        <x:v>Catalogo Black+Decker Lo Specialista 2026, pagina 118. Prezzi se presenti: raccomandati dal catalogo.</x:v>
      </x:c>
      <x:c r="Q139" s="14" t="n">
        <x:f>'Catalogo Ferramenta'!R139</x:f>
        <x:v>118</x:v>
      </x:c>
      <x:c r="R139" t="str">
        <x:f>'Catalogo Ferramenta'!S139</x:f>
        <x:v>B+D_CATALOGO Lo Specialista 2026.pdf</x:v>
      </x:c>
      <x:c r="S139" s="45" t="b">
        <x:f>AND(D139&lt;&gt;"",B139&lt;&gt;"")</x:f>
        <x:v>1</x:v>
      </x:c>
      <x:c r="T139" t="str">
        <x:f>TEXTJOIN("; ",TRUE,IF(D139="","manca nome",""),IF(B139="","manca barcode",""),IF(H139=0,"prezzo costo da compilare",""),IF(I139=0,"prezzo vendita da compilare",""),IF(K139=0,"quantità da compilare",""))</x:f>
        <x:v>quantità da compilare</x:v>
      </x:c>
    </x:row>
    <x:row r="140">
      <x:c r="A140" t="str">
        <x:f>'Catalogo Ferramenta'!A140</x:f>
        <x:v>BD-0139</x:v>
      </x:c>
      <x:c r="B140" t="str">
        <x:f>'Catalogo Ferramenta'!B140</x:f>
        <x:v>5035048704219</x:v>
      </x:c>
      <x:c r="C140" t="str">
        <x:f>'Catalogo Ferramenta'!C140</x:f>
        <x:v>BEH200-QS</x:v>
      </x:c>
      <x:c r="D140" t="str">
        <x:f>'Catalogo Ferramenta'!D140</x:f>
        <x:v>Trapano a percussione a filo 500W</x:v>
      </x:c>
      <x:c r="E140" t="str">
        <x:f>'Catalogo Ferramenta'!E140</x:f>
        <x:v>BLACK+DECKER</x:v>
      </x:c>
      <x:c r="F140" t="str">
        <x:f>'Catalogo Ferramenta'!F140</x:f>
        <x:v>ELETTROUTENSILI</x:v>
      </x:c>
      <x:c r="G140" t="str">
        <x:f>'Catalogo Ferramenta'!G140</x:f>
        <x:v>TRAPANI A FILO</x:v>
      </x:c>
      <x:c r="H140" s="12" t="n">
        <x:f>IF('Catalogo Ferramenta'!H140="",0,'Catalogo Ferramenta'!H140)</x:f>
        <x:v>32.7</x:v>
      </x:c>
      <x:c r="I140" s="12" t="n">
        <x:f>IF('Catalogo Ferramenta'!I140="",0,'Catalogo Ferramenta'!I140)</x:f>
        <x:v>39.9</x:v>
      </x:c>
      <x:c r="J140" s="14" t="n">
        <x:f>IF('Catalogo Ferramenta'!J140="",22,'Catalogo Ferramenta'!J140)</x:f>
        <x:v>22</x:v>
      </x:c>
      <x:c r="K140" s="14" t="n">
        <x:f>IF('Catalogo Ferramenta'!K140="",0,'Catalogo Ferramenta'!K140)</x:f>
        <x:v>0</x:v>
      </x:c>
      <x:c r="L140" s="14" t="n">
        <x:f>1</x:f>
        <x:v>1</x:v>
      </x:c>
      <x:c r="M140" t="n">
        <x:f>'Catalogo Ferramenta'!L140</x:f>
        <x:v>0</x:v>
      </x:c>
      <x:c r="N140" t="n">
        <x:f>'Catalogo Ferramenta'!M140</x:f>
        <x:v>0</x:v>
      </x:c>
      <x:c r="O140" t="str">
        <x:f>'Catalogo Ferramenta'!N140</x:f>
        <x:v>BLACK+DECKER</x:v>
      </x:c>
      <x:c r="P140" t="str">
        <x:f>'Catalogo Ferramenta'!P140</x:f>
        <x:v>Catalogo Black+Decker Lo Specialista 2026, pagina 12. Prezzi se presenti: raccomandati dal catalogo.</x:v>
      </x:c>
      <x:c r="Q140" s="14" t="n">
        <x:f>'Catalogo Ferramenta'!R140</x:f>
        <x:v>12</x:v>
      </x:c>
      <x:c r="R140" t="str">
        <x:f>'Catalogo Ferramenta'!S140</x:f>
        <x:v>B+D_CATALOGO Lo Specialista 2026.pdf</x:v>
      </x:c>
      <x:c r="S140" s="45" t="b">
        <x:f>AND(D140&lt;&gt;"",B140&lt;&gt;"")</x:f>
        <x:v>1</x:v>
      </x:c>
      <x:c r="T140" t="str">
        <x:f>TEXTJOIN("; ",TRUE,IF(D140="","manca nome",""),IF(B140="","manca barcode",""),IF(H140=0,"prezzo costo da compilare",""),IF(I140=0,"prezzo vendita da compilare",""),IF(K140=0,"quantità da compilare",""))</x:f>
        <x:v>quantità da compilare</x:v>
      </x:c>
    </x:row>
    <x:row r="141">
      <x:c r="A141" t="str">
        <x:f>'Catalogo Ferramenta'!A141</x:f>
        <x:v>BD-0140</x:v>
      </x:c>
      <x:c r="B141" t="str">
        <x:f>'Catalogo Ferramenta'!B141</x:f>
        <x:v>5035048680391</x:v>
      </x:c>
      <x:c r="C141" t="str">
        <x:f>'Catalogo Ferramenta'!C141</x:f>
        <x:v>BEH550-QS</x:v>
      </x:c>
      <x:c r="D141" t="str">
        <x:f>'Catalogo Ferramenta'!D141</x:f>
        <x:v>Trapano a percussione a filo 550W</x:v>
      </x:c>
      <x:c r="E141" t="str">
        <x:f>'Catalogo Ferramenta'!E141</x:f>
        <x:v>BLACK+DECKER</x:v>
      </x:c>
      <x:c r="F141" t="str">
        <x:f>'Catalogo Ferramenta'!F141</x:f>
        <x:v>ELETTROUTENSILI</x:v>
      </x:c>
      <x:c r="G141" t="str">
        <x:f>'Catalogo Ferramenta'!G141</x:f>
        <x:v>TRAPANI A FILO</x:v>
      </x:c>
      <x:c r="H141" s="12" t="n">
        <x:f>IF('Catalogo Ferramenta'!H141="",0,'Catalogo Ferramenta'!H141)</x:f>
        <x:v>36.9</x:v>
      </x:c>
      <x:c r="I141" s="12" t="n">
        <x:f>IF('Catalogo Ferramenta'!I141="",0,'Catalogo Ferramenta'!I141)</x:f>
        <x:v>45.9</x:v>
      </x:c>
      <x:c r="J141" s="14" t="n">
        <x:f>IF('Catalogo Ferramenta'!J141="",22,'Catalogo Ferramenta'!J141)</x:f>
        <x:v>22</x:v>
      </x:c>
      <x:c r="K141" s="14" t="n">
        <x:f>IF('Catalogo Ferramenta'!K141="",0,'Catalogo Ferramenta'!K141)</x:f>
        <x:v>0</x:v>
      </x:c>
      <x:c r="L141" s="14" t="n">
        <x:f>1</x:f>
        <x:v>1</x:v>
      </x:c>
      <x:c r="M141" t="n">
        <x:f>'Catalogo Ferramenta'!L141</x:f>
        <x:v>0</x:v>
      </x:c>
      <x:c r="N141" t="n">
        <x:f>'Catalogo Ferramenta'!M141</x:f>
        <x:v>0</x:v>
      </x:c>
      <x:c r="O141" t="str">
        <x:f>'Catalogo Ferramenta'!N141</x:f>
        <x:v>BLACK+DECKER</x:v>
      </x:c>
      <x:c r="P141" t="str">
        <x:f>'Catalogo Ferramenta'!P141</x:f>
        <x:v>Catalogo Black+Decker Lo Specialista 2026, pagina 12. Prezzi se presenti: raccomandati dal catalogo.</x:v>
      </x:c>
      <x:c r="Q141" s="14" t="n">
        <x:f>'Catalogo Ferramenta'!R141</x:f>
        <x:v>12</x:v>
      </x:c>
      <x:c r="R141" t="str">
        <x:f>'Catalogo Ferramenta'!S141</x:f>
        <x:v>B+D_CATALOGO Lo Specialista 2026.pdf</x:v>
      </x:c>
      <x:c r="S141" s="45" t="b">
        <x:f>AND(D141&lt;&gt;"",B141&lt;&gt;"")</x:f>
        <x:v>1</x:v>
      </x:c>
      <x:c r="T141" t="str">
        <x:f>TEXTJOIN("; ",TRUE,IF(D141="","manca nome",""),IF(B141="","manca barcode",""),IF(H141=0,"prezzo costo da compilare",""),IF(I141=0,"prezzo vendita da compilare",""),IF(K141=0,"quantità da compilare",""))</x:f>
        <x:v>quantità da compilare</x:v>
      </x:c>
    </x:row>
    <x:row r="142">
      <x:c r="A142" t="str">
        <x:f>'Catalogo Ferramenta'!A142</x:f>
        <x:v>BD-0141</x:v>
      </x:c>
      <x:c r="B142" t="str">
        <x:f>'Catalogo Ferramenta'!B142</x:f>
        <x:v>5035048681213</x:v>
      </x:c>
      <x:c r="C142" t="str">
        <x:f>'Catalogo Ferramenta'!C142</x:f>
        <x:v>BEH550K-QS</x:v>
      </x:c>
      <x:c r="D142" t="str">
        <x:f>'Catalogo Ferramenta'!D142</x:f>
        <x:v>Trapano a percussione a filo 550W</x:v>
      </x:c>
      <x:c r="E142" t="str">
        <x:f>'Catalogo Ferramenta'!E142</x:f>
        <x:v>BLACK+DECKER</x:v>
      </x:c>
      <x:c r="F142" t="str">
        <x:f>'Catalogo Ferramenta'!F142</x:f>
        <x:v>ELETTROUTENSILI</x:v>
      </x:c>
      <x:c r="G142" t="str">
        <x:f>'Catalogo Ferramenta'!G142</x:f>
        <x:v>TRAPANI A FILO</x:v>
      </x:c>
      <x:c r="H142" s="12" t="n">
        <x:f>IF('Catalogo Ferramenta'!H142="",0,'Catalogo Ferramenta'!H142)</x:f>
        <x:v>40.9</x:v>
      </x:c>
      <x:c r="I142" s="12" t="n">
        <x:f>IF('Catalogo Ferramenta'!I142="",0,'Catalogo Ferramenta'!I142)</x:f>
        <x:v>49.9</x:v>
      </x:c>
      <x:c r="J142" s="14" t="n">
        <x:f>IF('Catalogo Ferramenta'!J142="",22,'Catalogo Ferramenta'!J142)</x:f>
        <x:v>22</x:v>
      </x:c>
      <x:c r="K142" s="14" t="n">
        <x:f>IF('Catalogo Ferramenta'!K142="",0,'Catalogo Ferramenta'!K142)</x:f>
        <x:v>0</x:v>
      </x:c>
      <x:c r="L142" s="14" t="n">
        <x:f>1</x:f>
        <x:v>1</x:v>
      </x:c>
      <x:c r="M142" t="n">
        <x:f>'Catalogo Ferramenta'!L142</x:f>
        <x:v>0</x:v>
      </x:c>
      <x:c r="N142" t="n">
        <x:f>'Catalogo Ferramenta'!M142</x:f>
        <x:v>0</x:v>
      </x:c>
      <x:c r="O142" t="str">
        <x:f>'Catalogo Ferramenta'!N142</x:f>
        <x:v>BLACK+DECKER</x:v>
      </x:c>
      <x:c r="P142" t="str">
        <x:f>'Catalogo Ferramenta'!P142</x:f>
        <x:v>Catalogo Black+Decker Lo Specialista 2026, pagina 12. Prezzi se presenti: raccomandati dal catalogo.</x:v>
      </x:c>
      <x:c r="Q142" s="14" t="n">
        <x:f>'Catalogo Ferramenta'!R142</x:f>
        <x:v>12</x:v>
      </x:c>
      <x:c r="R142" t="str">
        <x:f>'Catalogo Ferramenta'!S142</x:f>
        <x:v>B+D_CATALOGO Lo Specialista 2026.pdf</x:v>
      </x:c>
      <x:c r="S142" s="45" t="b">
        <x:f>AND(D142&lt;&gt;"",B142&lt;&gt;"")</x:f>
        <x:v>1</x:v>
      </x:c>
      <x:c r="T142" t="str">
        <x:f>TEXTJOIN("; ",TRUE,IF(D142="","manca nome",""),IF(B142="","manca barcode",""),IF(H142=0,"prezzo costo da compilare",""),IF(I142=0,"prezzo vendita da compilare",""),IF(K142=0,"quantità da compilare",""))</x:f>
        <x:v>quantità da compilare</x:v>
      </x:c>
    </x:row>
    <x:row r="143">
      <x:c r="A143" t="str">
        <x:f>'Catalogo Ferramenta'!A143</x:f>
        <x:v>BD-0142</x:v>
      </x:c>
      <x:c r="B143" t="str">
        <x:f>'Catalogo Ferramenta'!B143</x:f>
        <x:v>5035048681343</x:v>
      </x:c>
      <x:c r="C143" t="str">
        <x:f>'Catalogo Ferramenta'!C143</x:f>
        <x:v>BEH710K-QS</x:v>
      </x:c>
      <x:c r="D143" t="str">
        <x:f>'Catalogo Ferramenta'!D143</x:f>
        <x:v>Trapano a percussione a filo 710W in valigetta</x:v>
      </x:c>
      <x:c r="E143" t="str">
        <x:f>'Catalogo Ferramenta'!E143</x:f>
        <x:v>BLACK+DECKER</x:v>
      </x:c>
      <x:c r="F143" t="str">
        <x:f>'Catalogo Ferramenta'!F143</x:f>
        <x:v>ELETTROUTENSILI</x:v>
      </x:c>
      <x:c r="G143" t="str">
        <x:f>'Catalogo Ferramenta'!G143</x:f>
        <x:v>TRAPANI A FILO</x:v>
      </x:c>
      <x:c r="H143" s="12" t="n">
        <x:f>IF('Catalogo Ferramenta'!H143="",0,'Catalogo Ferramenta'!H143)</x:f>
        <x:v>45</x:v>
      </x:c>
      <x:c r="I143" s="12" t="n">
        <x:f>IF('Catalogo Ferramenta'!I143="",0,'Catalogo Ferramenta'!I143)</x:f>
        <x:v>54.9</x:v>
      </x:c>
      <x:c r="J143" s="14" t="n">
        <x:f>IF('Catalogo Ferramenta'!J143="",22,'Catalogo Ferramenta'!J143)</x:f>
        <x:v>22</x:v>
      </x:c>
      <x:c r="K143" s="14" t="n">
        <x:f>IF('Catalogo Ferramenta'!K143="",0,'Catalogo Ferramenta'!K143)</x:f>
        <x:v>0</x:v>
      </x:c>
      <x:c r="L143" s="14" t="n">
        <x:f>1</x:f>
        <x:v>1</x:v>
      </x:c>
      <x:c r="M143" t="n">
        <x:f>'Catalogo Ferramenta'!L143</x:f>
        <x:v>0</x:v>
      </x:c>
      <x:c r="N143" t="n">
        <x:f>'Catalogo Ferramenta'!M143</x:f>
        <x:v>0</x:v>
      </x:c>
      <x:c r="O143" t="str">
        <x:f>'Catalogo Ferramenta'!N143</x:f>
        <x:v>BLACK+DECKER</x:v>
      </x:c>
      <x:c r="P143" t="str">
        <x:f>'Catalogo Ferramenta'!P143</x:f>
        <x:v>Catalogo Black+Decker Lo Specialista 2026, pagina 13. Prezzi se presenti: raccomandati dal catalogo.</x:v>
      </x:c>
      <x:c r="Q143" s="14" t="n">
        <x:f>'Catalogo Ferramenta'!R143</x:f>
        <x:v>13</x:v>
      </x:c>
      <x:c r="R143" t="str">
        <x:f>'Catalogo Ferramenta'!S143</x:f>
        <x:v>B+D_CATALOGO Lo Specialista 2026.pdf</x:v>
      </x:c>
      <x:c r="S143" s="45" t="b">
        <x:f>AND(D143&lt;&gt;"",B143&lt;&gt;"")</x:f>
        <x:v>1</x:v>
      </x:c>
      <x:c r="T143" t="str">
        <x:f>TEXTJOIN("; ",TRUE,IF(D143="","manca nome",""),IF(B143="","manca barcode",""),IF(H143=0,"prezzo costo da compilare",""),IF(I143=0,"prezzo vendita da compilare",""),IF(K143=0,"quantità da compilare",""))</x:f>
        <x:v>quantità da compilare</x:v>
      </x:c>
    </x:row>
    <x:row r="144">
      <x:c r="A144" t="str">
        <x:f>'Catalogo Ferramenta'!A144</x:f>
        <x:v>BD-0143</x:v>
      </x:c>
      <x:c r="B144" t="str">
        <x:f>'Catalogo Ferramenta'!B144</x:f>
        <x:v>5035048681404</x:v>
      </x:c>
      <x:c r="C144" t="str">
        <x:f>'Catalogo Ferramenta'!C144</x:f>
        <x:v>BEH850K-QS</x:v>
      </x:c>
      <x:c r="D144" t="str">
        <x:f>'Catalogo Ferramenta'!D144</x:f>
        <x:v>Trapano a percussione a filo 850W in valigetta</x:v>
      </x:c>
      <x:c r="E144" t="str">
        <x:f>'Catalogo Ferramenta'!E144</x:f>
        <x:v>BLACK+DECKER</x:v>
      </x:c>
      <x:c r="F144" t="str">
        <x:f>'Catalogo Ferramenta'!F144</x:f>
        <x:v>ELETTROUTENSILI</x:v>
      </x:c>
      <x:c r="G144" t="str">
        <x:f>'Catalogo Ferramenta'!G144</x:f>
        <x:v>TRAPANI A FILO</x:v>
      </x:c>
      <x:c r="H144" s="12" t="n">
        <x:f>IF('Catalogo Ferramenta'!H144="",0,'Catalogo Ferramenta'!H144)</x:f>
        <x:v>63.5</x:v>
      </x:c>
      <x:c r="I144" s="12" t="n">
        <x:f>IF('Catalogo Ferramenta'!I144="",0,'Catalogo Ferramenta'!I144)</x:f>
        <x:v>77.5</x:v>
      </x:c>
      <x:c r="J144" s="14" t="n">
        <x:f>IF('Catalogo Ferramenta'!J144="",22,'Catalogo Ferramenta'!J144)</x:f>
        <x:v>22</x:v>
      </x:c>
      <x:c r="K144" s="14" t="n">
        <x:f>IF('Catalogo Ferramenta'!K144="",0,'Catalogo Ferramenta'!K144)</x:f>
        <x:v>0</x:v>
      </x:c>
      <x:c r="L144" s="14" t="n">
        <x:f>1</x:f>
        <x:v>1</x:v>
      </x:c>
      <x:c r="M144" t="n">
        <x:f>'Catalogo Ferramenta'!L144</x:f>
        <x:v>0</x:v>
      </x:c>
      <x:c r="N144" t="n">
        <x:f>'Catalogo Ferramenta'!M144</x:f>
        <x:v>0</x:v>
      </x:c>
      <x:c r="O144" t="str">
        <x:f>'Catalogo Ferramenta'!N144</x:f>
        <x:v>BLACK+DECKER</x:v>
      </x:c>
      <x:c r="P144" t="str">
        <x:f>'Catalogo Ferramenta'!P144</x:f>
        <x:v>Catalogo Black+Decker Lo Specialista 2026, pagina 13. Prezzi se presenti: raccomandati dal catalogo.</x:v>
      </x:c>
      <x:c r="Q144" s="14" t="n">
        <x:f>'Catalogo Ferramenta'!R144</x:f>
        <x:v>13</x:v>
      </x:c>
      <x:c r="R144" t="str">
        <x:f>'Catalogo Ferramenta'!S144</x:f>
        <x:v>B+D_CATALOGO Lo Specialista 2026.pdf</x:v>
      </x:c>
      <x:c r="S144" s="45" t="b">
        <x:f>AND(D144&lt;&gt;"",B144&lt;&gt;"")</x:f>
        <x:v>1</x:v>
      </x:c>
      <x:c r="T144" t="str">
        <x:f>TEXTJOIN("; ",TRUE,IF(D144="","manca nome",""),IF(B144="","manca barcode",""),IF(H144=0,"prezzo costo da compilare",""),IF(I144=0,"prezzo vendita da compilare",""),IF(K144=0,"quantità da compilare",""))</x:f>
        <x:v>quantità da compilare</x:v>
      </x:c>
    </x:row>
    <x:row r="145">
      <x:c r="A145" t="str">
        <x:f>'Catalogo Ferramenta'!A145</x:f>
        <x:v>BD-0144</x:v>
      </x:c>
      <x:c r="B145" t="str">
        <x:f>'Catalogo Ferramenta'!B145</x:f>
        <x:v>5035048730416</x:v>
      </x:c>
      <x:c r="C145" t="str">
        <x:f>'Catalogo Ferramenta'!C145</x:f>
        <x:v>BEHS01-QS</x:v>
      </x:c>
      <x:c r="D145" t="str">
        <x:f>'Catalogo Ferramenta'!D145</x:f>
        <x:v>Martello tassellatore scalpellatore 650W</x:v>
      </x:c>
      <x:c r="E145" t="str">
        <x:f>'Catalogo Ferramenta'!E145</x:f>
        <x:v>BLACK+DECKER</x:v>
      </x:c>
      <x:c r="F145" t="str">
        <x:f>'Catalogo Ferramenta'!F145</x:f>
        <x:v>ELETTROUTENSILI</x:v>
      </x:c>
      <x:c r="G145" t="str">
        <x:f>'Catalogo Ferramenta'!G145</x:f>
        <x:v>TASSELLATORI</x:v>
      </x:c>
      <x:c r="H145" s="12" t="n">
        <x:f>IF('Catalogo Ferramenta'!H145="",0,'Catalogo Ferramenta'!H145)</x:f>
        <x:v>73.7</x:v>
      </x:c>
      <x:c r="I145" s="12" t="n">
        <x:f>IF('Catalogo Ferramenta'!I145="",0,'Catalogo Ferramenta'!I145)</x:f>
        <x:v>89.9</x:v>
      </x:c>
      <x:c r="J145" s="14" t="n">
        <x:f>IF('Catalogo Ferramenta'!J145="",22,'Catalogo Ferramenta'!J145)</x:f>
        <x:v>22</x:v>
      </x:c>
      <x:c r="K145" s="14" t="n">
        <x:f>IF('Catalogo Ferramenta'!K145="",0,'Catalogo Ferramenta'!K145)</x:f>
        <x:v>0</x:v>
      </x:c>
      <x:c r="L145" s="14" t="n">
        <x:f>1</x:f>
        <x:v>1</x:v>
      </x:c>
      <x:c r="M145" t="n">
        <x:f>'Catalogo Ferramenta'!L145</x:f>
        <x:v>0</x:v>
      </x:c>
      <x:c r="N145" t="n">
        <x:f>'Catalogo Ferramenta'!M145</x:f>
        <x:v>0</x:v>
      </x:c>
      <x:c r="O145" t="str">
        <x:f>'Catalogo Ferramenta'!N145</x:f>
        <x:v>BLACK+DECKER</x:v>
      </x:c>
      <x:c r="P145" t="str">
        <x:f>'Catalogo Ferramenta'!P145</x:f>
        <x:v>Catalogo Black+Decker Lo Specialista 2026, pagina 23. Prezzi se presenti: raccomandati dal catalogo.</x:v>
      </x:c>
      <x:c r="Q145" s="14" t="n">
        <x:f>'Catalogo Ferramenta'!R145</x:f>
        <x:v>23</x:v>
      </x:c>
      <x:c r="R145" t="str">
        <x:f>'Catalogo Ferramenta'!S145</x:f>
        <x:v>B+D_CATALOGO Lo Specialista 2026.pdf</x:v>
      </x:c>
      <x:c r="S145" s="45" t="b">
        <x:f>AND(D145&lt;&gt;"",B145&lt;&gt;"")</x:f>
        <x:v>1</x:v>
      </x:c>
      <x:c r="T145" t="str">
        <x:f>TEXTJOIN("; ",TRUE,IF(D145="","manca nome",""),IF(B145="","manca barcode",""),IF(H145=0,"prezzo costo da compilare",""),IF(I145=0,"prezzo vendita da compilare",""),IF(K145=0,"quantità da compilare",""))</x:f>
        <x:v>quantità da compilare</x:v>
      </x:c>
    </x:row>
    <x:row r="146">
      <x:c r="A146" t="str">
        <x:f>'Catalogo Ferramenta'!A146</x:f>
        <x:v>BD-0145</x:v>
      </x:c>
      <x:c r="B146" t="str">
        <x:f>'Catalogo Ferramenta'!B146</x:f>
        <x:v>5035048730485</x:v>
      </x:c>
      <x:c r="C146" t="str">
        <x:f>'Catalogo Ferramenta'!C146</x:f>
        <x:v>BEHS02K-QS</x:v>
      </x:c>
      <x:c r="D146" t="str">
        <x:f>'Catalogo Ferramenta'!D146</x:f>
        <x:v>Martello tassellatore scalpellatore 800W in valigetta</x:v>
      </x:c>
      <x:c r="E146" t="str">
        <x:f>'Catalogo Ferramenta'!E146</x:f>
        <x:v>BLACK+DECKER</x:v>
      </x:c>
      <x:c r="F146" t="str">
        <x:f>'Catalogo Ferramenta'!F146</x:f>
        <x:v>ELETTROUTENSILI</x:v>
      </x:c>
      <x:c r="G146" t="str">
        <x:f>'Catalogo Ferramenta'!G146</x:f>
        <x:v>TASSELLATORI</x:v>
      </x:c>
      <x:c r="H146" s="12" t="n">
        <x:f>IF('Catalogo Ferramenta'!H146="",0,'Catalogo Ferramenta'!H146)</x:f>
        <x:v>98.3</x:v>
      </x:c>
      <x:c r="I146" s="12" t="n">
        <x:f>IF('Catalogo Ferramenta'!I146="",0,'Catalogo Ferramenta'!I146)</x:f>
        <x:v>119.9</x:v>
      </x:c>
      <x:c r="J146" s="14" t="n">
        <x:f>IF('Catalogo Ferramenta'!J146="",22,'Catalogo Ferramenta'!J146)</x:f>
        <x:v>22</x:v>
      </x:c>
      <x:c r="K146" s="14" t="n">
        <x:f>IF('Catalogo Ferramenta'!K146="",0,'Catalogo Ferramenta'!K146)</x:f>
        <x:v>0</x:v>
      </x:c>
      <x:c r="L146" s="14" t="n">
        <x:f>1</x:f>
        <x:v>1</x:v>
      </x:c>
      <x:c r="M146" t="n">
        <x:f>'Catalogo Ferramenta'!L146</x:f>
        <x:v>0</x:v>
      </x:c>
      <x:c r="N146" t="n">
        <x:f>'Catalogo Ferramenta'!M146</x:f>
        <x:v>0</x:v>
      </x:c>
      <x:c r="O146" t="str">
        <x:f>'Catalogo Ferramenta'!N146</x:f>
        <x:v>BLACK+DECKER</x:v>
      </x:c>
      <x:c r="P146" t="str">
        <x:f>'Catalogo Ferramenta'!P146</x:f>
        <x:v>Catalogo Black+Decker Lo Specialista 2026, pagina 23. Prezzi se presenti: raccomandati dal catalogo.</x:v>
      </x:c>
      <x:c r="Q146" s="14" t="n">
        <x:f>'Catalogo Ferramenta'!R146</x:f>
        <x:v>23</x:v>
      </x:c>
      <x:c r="R146" t="str">
        <x:f>'Catalogo Ferramenta'!S146</x:f>
        <x:v>B+D_CATALOGO Lo Specialista 2026.pdf</x:v>
      </x:c>
      <x:c r="S146" s="45" t="b">
        <x:f>AND(D146&lt;&gt;"",B146&lt;&gt;"")</x:f>
        <x:v>1</x:v>
      </x:c>
      <x:c r="T146" t="str">
        <x:f>TEXTJOIN("; ",TRUE,IF(D146="","manca nome",""),IF(B146="","manca barcode",""),IF(H146=0,"prezzo costo da compilare",""),IF(I146=0,"prezzo vendita da compilare",""),IF(K146=0,"quantità da compilare",""))</x:f>
        <x:v>quantità da compilare</x:v>
      </x:c>
    </x:row>
    <x:row r="147">
      <x:c r="A147" t="str">
        <x:f>'Catalogo Ferramenta'!A147</x:f>
        <x:v>BD-0146</x:v>
      </x:c>
      <x:c r="B147" t="str">
        <x:f>'Catalogo Ferramenta'!B147</x:f>
        <x:v>5035048730515</x:v>
      </x:c>
      <x:c r="C147" t="str">
        <x:f>'Catalogo Ferramenta'!C147</x:f>
        <x:v>BEHS03K-QS</x:v>
      </x:c>
      <x:c r="D147" t="str">
        <x:f>'Catalogo Ferramenta'!D147</x:f>
        <x:v>Martello demolitore scalpellatore 1250W in valigetta</x:v>
      </x:c>
      <x:c r="E147" t="str">
        <x:f>'Catalogo Ferramenta'!E147</x:f>
        <x:v>BLACK+DECKER</x:v>
      </x:c>
      <x:c r="F147" t="str">
        <x:f>'Catalogo Ferramenta'!F147</x:f>
        <x:v>ELETTROUTENSILI</x:v>
      </x:c>
      <x:c r="G147" t="str">
        <x:f>'Catalogo Ferramenta'!G147</x:f>
        <x:v>TASSELLATORI</x:v>
      </x:c>
      <x:c r="H147" s="12" t="n">
        <x:f>IF('Catalogo Ferramenta'!H147="",0,'Catalogo Ferramenta'!H147)</x:f>
        <x:v>106.5</x:v>
      </x:c>
      <x:c r="I147" s="12" t="n">
        <x:f>IF('Catalogo Ferramenta'!I147="",0,'Catalogo Ferramenta'!I147)</x:f>
        <x:v>129.9</x:v>
      </x:c>
      <x:c r="J147" s="14" t="n">
        <x:f>IF('Catalogo Ferramenta'!J147="",22,'Catalogo Ferramenta'!J147)</x:f>
        <x:v>22</x:v>
      </x:c>
      <x:c r="K147" s="14" t="n">
        <x:f>IF('Catalogo Ferramenta'!K147="",0,'Catalogo Ferramenta'!K147)</x:f>
        <x:v>0</x:v>
      </x:c>
      <x:c r="L147" s="14" t="n">
        <x:f>1</x:f>
        <x:v>1</x:v>
      </x:c>
      <x:c r="M147" t="n">
        <x:f>'Catalogo Ferramenta'!L147</x:f>
        <x:v>0</x:v>
      </x:c>
      <x:c r="N147" t="n">
        <x:f>'Catalogo Ferramenta'!M147</x:f>
        <x:v>0</x:v>
      </x:c>
      <x:c r="O147" t="str">
        <x:f>'Catalogo Ferramenta'!N147</x:f>
        <x:v>BLACK+DECKER</x:v>
      </x:c>
      <x:c r="P147" t="str">
        <x:f>'Catalogo Ferramenta'!P147</x:f>
        <x:v>Catalogo Black+Decker Lo Specialista 2026, pagina 24. Prezzi se presenti: raccomandati dal catalogo.</x:v>
      </x:c>
      <x:c r="Q147" s="14" t="n">
        <x:f>'Catalogo Ferramenta'!R147</x:f>
        <x:v>24</x:v>
      </x:c>
      <x:c r="R147" t="str">
        <x:f>'Catalogo Ferramenta'!S147</x:f>
        <x:v>B+D_CATALOGO Lo Specialista 2026.pdf</x:v>
      </x:c>
      <x:c r="S147" s="45" t="b">
        <x:f>AND(D147&lt;&gt;"",B147&lt;&gt;"")</x:f>
        <x:v>1</x:v>
      </x:c>
      <x:c r="T147" t="str">
        <x:f>TEXTJOIN("; ",TRUE,IF(D147="","manca nome",""),IF(B147="","manca barcode",""),IF(H147=0,"prezzo costo da compilare",""),IF(I147=0,"prezzo vendita da compilare",""),IF(K147=0,"quantità da compilare",""))</x:f>
        <x:v>quantità da compilare</x:v>
      </x:c>
    </x:row>
    <x:row r="148">
      <x:c r="A148" t="str">
        <x:f>'Catalogo Ferramenta'!A148</x:f>
        <x:v>BD-0147</x:v>
      </x:c>
      <x:c r="B148" t="str">
        <x:f>'Catalogo Ferramenta'!B148</x:f>
        <x:v>5035048677988</x:v>
      </x:c>
      <x:c r="C148" t="str">
        <x:f>'Catalogo Ferramenta'!C148</x:f>
        <x:v>BEHT201-QS</x:v>
      </x:c>
      <x:c r="D148" t="str">
        <x:f>'Catalogo Ferramenta'!D148</x:f>
        <x:v>Tagliasiepi a filo 420W</x:v>
      </x:c>
      <x:c r="E148" t="str">
        <x:f>'Catalogo Ferramenta'!E148</x:f>
        <x:v>BLACK+DECKER</x:v>
      </x:c>
      <x:c r="F148" t="str">
        <x:f>'Catalogo Ferramenta'!F148</x:f>
        <x:v>GAMMA GIARDINO</x:v>
      </x:c>
      <x:c r="G148" t="str">
        <x:f>'Catalogo Ferramenta'!G148</x:f>
        <x:v>TAGLIASIEPI E CESOIE</x:v>
      </x:c>
      <x:c r="H148" s="12" t="n">
        <x:f>IF('Catalogo Ferramenta'!H148="",0,'Catalogo Ferramenta'!H148)</x:f>
        <x:v>49.1</x:v>
      </x:c>
      <x:c r="I148" s="12" t="n">
        <x:f>IF('Catalogo Ferramenta'!I148="",0,'Catalogo Ferramenta'!I148)</x:f>
        <x:v>59.9</x:v>
      </x:c>
      <x:c r="J148" s="14" t="n">
        <x:f>IF('Catalogo Ferramenta'!J148="",22,'Catalogo Ferramenta'!J148)</x:f>
        <x:v>22</x:v>
      </x:c>
      <x:c r="K148" s="14" t="n">
        <x:f>IF('Catalogo Ferramenta'!K148="",0,'Catalogo Ferramenta'!K148)</x:f>
        <x:v>0</x:v>
      </x:c>
      <x:c r="L148" s="14" t="n">
        <x:f>1</x:f>
        <x:v>1</x:v>
      </x:c>
      <x:c r="M148" t="n">
        <x:f>'Catalogo Ferramenta'!L148</x:f>
        <x:v>0</x:v>
      </x:c>
      <x:c r="N148" t="n">
        <x:f>'Catalogo Ferramenta'!M148</x:f>
        <x:v>0</x:v>
      </x:c>
      <x:c r="O148" t="str">
        <x:f>'Catalogo Ferramenta'!N148</x:f>
        <x:v>BLACK+DECKER</x:v>
      </x:c>
      <x:c r="P148" t="str">
        <x:f>'Catalogo Ferramenta'!P148</x:f>
        <x:v>Catalogo Black+Decker Lo Specialista 2026, pagina 111. Prezzi se presenti: raccomandati dal catalogo.</x:v>
      </x:c>
      <x:c r="Q148" s="14" t="n">
        <x:f>'Catalogo Ferramenta'!R148</x:f>
        <x:v>111</x:v>
      </x:c>
      <x:c r="R148" t="str">
        <x:f>'Catalogo Ferramenta'!S148</x:f>
        <x:v>B+D_CATALOGO Lo Specialista 2026.pdf</x:v>
      </x:c>
      <x:c r="S148" s="45" t="b">
        <x:f>AND(D148&lt;&gt;"",B148&lt;&gt;"")</x:f>
        <x:v>1</x:v>
      </x:c>
      <x:c r="T148" t="str">
        <x:f>TEXTJOIN("; ",TRUE,IF(D148="","manca nome",""),IF(B148="","manca barcode",""),IF(H148=0,"prezzo costo da compilare",""),IF(I148=0,"prezzo vendita da compilare",""),IF(K148=0,"quantità da compilare",""))</x:f>
        <x:v>quantità da compilare</x:v>
      </x:c>
    </x:row>
    <x:row r="149">
      <x:c r="A149" t="str">
        <x:f>'Catalogo Ferramenta'!A149</x:f>
        <x:v>BD-0148</x:v>
      </x:c>
      <x:c r="B149" t="str">
        <x:f>'Catalogo Ferramenta'!B149</x:f>
        <x:v>5035048678015</x:v>
      </x:c>
      <x:c r="C149" t="str">
        <x:f>'Catalogo Ferramenta'!C149</x:f>
        <x:v>BEHT251-QS</x:v>
      </x:c>
      <x:c r="D149" t="str">
        <x:f>'Catalogo Ferramenta'!D149</x:f>
        <x:v>Tagliasiepi a filo 450W</x:v>
      </x:c>
      <x:c r="E149" t="str">
        <x:f>'Catalogo Ferramenta'!E149</x:f>
        <x:v>BLACK+DECKER</x:v>
      </x:c>
      <x:c r="F149" t="str">
        <x:f>'Catalogo Ferramenta'!F149</x:f>
        <x:v>GAMMA GIARDINO</x:v>
      </x:c>
      <x:c r="G149" t="str">
        <x:f>'Catalogo Ferramenta'!G149</x:f>
        <x:v>TAGLIASIEPI E CESOIE</x:v>
      </x:c>
      <x:c r="H149" s="12" t="n">
        <x:f>IF('Catalogo Ferramenta'!H149="",0,'Catalogo Ferramenta'!H149)</x:f>
        <x:v>57.3</x:v>
      </x:c>
      <x:c r="I149" s="12" t="n">
        <x:f>IF('Catalogo Ferramenta'!I149="",0,'Catalogo Ferramenta'!I149)</x:f>
        <x:v>69.9</x:v>
      </x:c>
      <x:c r="J149" s="14" t="n">
        <x:f>IF('Catalogo Ferramenta'!J149="",22,'Catalogo Ferramenta'!J149)</x:f>
        <x:v>22</x:v>
      </x:c>
      <x:c r="K149" s="14" t="n">
        <x:f>IF('Catalogo Ferramenta'!K149="",0,'Catalogo Ferramenta'!K149)</x:f>
        <x:v>0</x:v>
      </x:c>
      <x:c r="L149" s="14" t="n">
        <x:f>1</x:f>
        <x:v>1</x:v>
      </x:c>
      <x:c r="M149" t="n">
        <x:f>'Catalogo Ferramenta'!L149</x:f>
        <x:v>0</x:v>
      </x:c>
      <x:c r="N149" t="n">
        <x:f>'Catalogo Ferramenta'!M149</x:f>
        <x:v>0</x:v>
      </x:c>
      <x:c r="O149" t="str">
        <x:f>'Catalogo Ferramenta'!N149</x:f>
        <x:v>BLACK+DECKER</x:v>
      </x:c>
      <x:c r="P149" t="str">
        <x:f>'Catalogo Ferramenta'!P149</x:f>
        <x:v>Catalogo Black+Decker Lo Specialista 2026, pagina 111. Prezzi se presenti: raccomandati dal catalogo.</x:v>
      </x:c>
      <x:c r="Q149" s="14" t="n">
        <x:f>'Catalogo Ferramenta'!R149</x:f>
        <x:v>111</x:v>
      </x:c>
      <x:c r="R149" t="str">
        <x:f>'Catalogo Ferramenta'!S149</x:f>
        <x:v>B+D_CATALOGO Lo Specialista 2026.pdf</x:v>
      </x:c>
      <x:c r="S149" s="45" t="b">
        <x:f>AND(D149&lt;&gt;"",B149&lt;&gt;"")</x:f>
        <x:v>1</x:v>
      </x:c>
      <x:c r="T149" t="str">
        <x:f>TEXTJOIN("; ",TRUE,IF(D149="","manca nome",""),IF(B149="","manca barcode",""),IF(H149=0,"prezzo costo da compilare",""),IF(I149=0,"prezzo vendita da compilare",""),IF(K149=0,"quantità da compilare",""))</x:f>
        <x:v>quantità da compilare</x:v>
      </x:c>
    </x:row>
    <x:row r="150">
      <x:c r="A150" t="str">
        <x:f>'Catalogo Ferramenta'!A150</x:f>
        <x:v>BD-0149</x:v>
      </x:c>
      <x:c r="B150" t="str">
        <x:f>'Catalogo Ferramenta'!B150</x:f>
        <x:v>5035048678084</x:v>
      </x:c>
      <x:c r="C150" t="str">
        <x:f>'Catalogo Ferramenta'!C150</x:f>
        <x:v>BEHTS401-QS</x:v>
      </x:c>
      <x:c r="D150" t="str">
        <x:f>'Catalogo Ferramenta'!D150</x:f>
        <x:v>Tagliasiepi a filo 500W con innovativa lama seghettata</x:v>
      </x:c>
      <x:c r="E150" t="str">
        <x:f>'Catalogo Ferramenta'!E150</x:f>
        <x:v>BLACK+DECKER</x:v>
      </x:c>
      <x:c r="F150" t="str">
        <x:f>'Catalogo Ferramenta'!F150</x:f>
        <x:v>GAMMA GIARDINO</x:v>
      </x:c>
      <x:c r="G150" t="str">
        <x:f>'Catalogo Ferramenta'!G150</x:f>
        <x:v>TAGLIASIEPI E CESOIE</x:v>
      </x:c>
      <x:c r="H150" s="12" t="n">
        <x:f>IF('Catalogo Ferramenta'!H150="",0,'Catalogo Ferramenta'!H150)</x:f>
        <x:v>73.7</x:v>
      </x:c>
      <x:c r="I150" s="12" t="n">
        <x:f>IF('Catalogo Ferramenta'!I150="",0,'Catalogo Ferramenta'!I150)</x:f>
        <x:v>89.9</x:v>
      </x:c>
      <x:c r="J150" s="14" t="n">
        <x:f>IF('Catalogo Ferramenta'!J150="",22,'Catalogo Ferramenta'!J150)</x:f>
        <x:v>22</x:v>
      </x:c>
      <x:c r="K150" s="14" t="n">
        <x:f>IF('Catalogo Ferramenta'!K150="",0,'Catalogo Ferramenta'!K150)</x:f>
        <x:v>0</x:v>
      </x:c>
      <x:c r="L150" s="14" t="n">
        <x:f>1</x:f>
        <x:v>1</x:v>
      </x:c>
      <x:c r="M150" t="n">
        <x:f>'Catalogo Ferramenta'!L150</x:f>
        <x:v>0</x:v>
      </x:c>
      <x:c r="N150" t="n">
        <x:f>'Catalogo Ferramenta'!M150</x:f>
        <x:v>0</x:v>
      </x:c>
      <x:c r="O150" t="str">
        <x:f>'Catalogo Ferramenta'!N150</x:f>
        <x:v>BLACK+DECKER</x:v>
      </x:c>
      <x:c r="P150" t="str">
        <x:f>'Catalogo Ferramenta'!P150</x:f>
        <x:v>Catalogo Black+Decker Lo Specialista 2026, pagina 112. Prezzi se presenti: raccomandati dal catalogo.</x:v>
      </x:c>
      <x:c r="Q150" s="14" t="n">
        <x:f>'Catalogo Ferramenta'!R150</x:f>
        <x:v>112</x:v>
      </x:c>
      <x:c r="R150" t="str">
        <x:f>'Catalogo Ferramenta'!S150</x:f>
        <x:v>B+D_CATALOGO Lo Specialista 2026.pdf</x:v>
      </x:c>
      <x:c r="S150" s="45" t="b">
        <x:f>AND(D150&lt;&gt;"",B150&lt;&gt;"")</x:f>
        <x:v>1</x:v>
      </x:c>
      <x:c r="T150" t="str">
        <x:f>TEXTJOIN("; ",TRUE,IF(D150="","manca nome",""),IF(B150="","manca barcode",""),IF(H150=0,"prezzo costo da compilare",""),IF(I150=0,"prezzo vendita da compilare",""),IF(K150=0,"quantità da compilare",""))</x:f>
        <x:v>quantità da compilare</x:v>
      </x:c>
    </x:row>
    <x:row r="151">
      <x:c r="A151" t="str">
        <x:f>'Catalogo Ferramenta'!A151</x:f>
        <x:v>BD-0150</x:v>
      </x:c>
      <x:c r="B151" t="str">
        <x:f>'Catalogo Ferramenta'!B151</x:f>
        <x:v>5035048728017</x:v>
      </x:c>
      <x:c r="C151" t="str">
        <x:f>'Catalogo Ferramenta'!C151</x:f>
        <x:v>BEHTS551-QS</x:v>
      </x:c>
      <x:c r="D151" t="str">
        <x:f>'Catalogo Ferramenta'!D151</x:f>
        <x:v>Tagliasiepi a filo 650W con impugnatura rotante</x:v>
      </x:c>
      <x:c r="E151" t="str">
        <x:f>'Catalogo Ferramenta'!E151</x:f>
        <x:v>BLACK+DECKER</x:v>
      </x:c>
      <x:c r="F151" t="str">
        <x:f>'Catalogo Ferramenta'!F151</x:f>
        <x:v>GAMMA GIARDINO</x:v>
      </x:c>
      <x:c r="G151" t="str">
        <x:f>'Catalogo Ferramenta'!G151</x:f>
        <x:v>TAGLIASIEPI E CESOIE</x:v>
      </x:c>
      <x:c r="H151" s="12" t="n">
        <x:f>IF('Catalogo Ferramenta'!H151="",0,'Catalogo Ferramenta'!H151)</x:f>
        <x:v>98.3</x:v>
      </x:c>
      <x:c r="I151" s="12" t="n">
        <x:f>IF('Catalogo Ferramenta'!I151="",0,'Catalogo Ferramenta'!I151)</x:f>
        <x:v>119.9</x:v>
      </x:c>
      <x:c r="J151" s="14" t="n">
        <x:f>IF('Catalogo Ferramenta'!J151="",22,'Catalogo Ferramenta'!J151)</x:f>
        <x:v>22</x:v>
      </x:c>
      <x:c r="K151" s="14" t="n">
        <x:f>IF('Catalogo Ferramenta'!K151="",0,'Catalogo Ferramenta'!K151)</x:f>
        <x:v>0</x:v>
      </x:c>
      <x:c r="L151" s="14" t="n">
        <x:f>1</x:f>
        <x:v>1</x:v>
      </x:c>
      <x:c r="M151" t="n">
        <x:f>'Catalogo Ferramenta'!L151</x:f>
        <x:v>0</x:v>
      </x:c>
      <x:c r="N151" t="n">
        <x:f>'Catalogo Ferramenta'!M151</x:f>
        <x:v>0</x:v>
      </x:c>
      <x:c r="O151" t="str">
        <x:f>'Catalogo Ferramenta'!N151</x:f>
        <x:v>BLACK+DECKER</x:v>
      </x:c>
      <x:c r="P151" t="str">
        <x:f>'Catalogo Ferramenta'!P151</x:f>
        <x:v>Catalogo Black+Decker Lo Specialista 2026, pagina 112. Prezzi se presenti: raccomandati dal catalogo.</x:v>
      </x:c>
      <x:c r="Q151" s="14" t="n">
        <x:f>'Catalogo Ferramenta'!R151</x:f>
        <x:v>112</x:v>
      </x:c>
      <x:c r="R151" t="str">
        <x:f>'Catalogo Ferramenta'!S151</x:f>
        <x:v>B+D_CATALOGO Lo Specialista 2026.pdf</x:v>
      </x:c>
      <x:c r="S151" s="45" t="b">
        <x:f>AND(D151&lt;&gt;"",B151&lt;&gt;"")</x:f>
        <x:v>1</x:v>
      </x:c>
      <x:c r="T151" t="str">
        <x:f>TEXTJOIN("; ",TRUE,IF(D151="","manca nome",""),IF(B151="","manca barcode",""),IF(H151=0,"prezzo costo da compilare",""),IF(I151=0,"prezzo vendita da compilare",""),IF(K151=0,"quantità da compilare",""))</x:f>
        <x:v>quantità da compilare</x:v>
      </x:c>
    </x:row>
    <x:row r="152">
      <x:c r="A152" t="str">
        <x:f>'Catalogo Ferramenta'!A152</x:f>
        <x:v>BD-0151</x:v>
      </x:c>
      <x:c r="B152" t="str">
        <x:f>'Catalogo Ferramenta'!B152</x:f>
        <x:v>5035048707067</x:v>
      </x:c>
      <x:c r="C152" t="str">
        <x:f>'Catalogo Ferramenta'!C152</x:f>
        <x:v>BEMW351-QS</x:v>
      </x:c>
      <x:c r="D152" t="str">
        <x:f>'Catalogo Ferramenta'!D152</x:f>
        <x:v>Rasaerba a filo 1000W</x:v>
      </x:c>
      <x:c r="E152" t="str">
        <x:f>'Catalogo Ferramenta'!E152</x:f>
        <x:v>BLACK+DECKER</x:v>
      </x:c>
      <x:c r="F152" t="str">
        <x:f>'Catalogo Ferramenta'!F152</x:f>
        <x:v>GAMMA GIARDINO</x:v>
      </x:c>
      <x:c r="G152" t="str">
        <x:f>'Catalogo Ferramenta'!G152</x:f>
        <x:v>RASAERBA</x:v>
      </x:c>
      <x:c r="H152" s="12" t="n">
        <x:f>IF('Catalogo Ferramenta'!H152="",0,'Catalogo Ferramenta'!H152)</x:f>
        <x:v>75</x:v>
      </x:c>
      <x:c r="I152" s="12" t="n">
        <x:f>IF('Catalogo Ferramenta'!I152="",0,'Catalogo Ferramenta'!I152)</x:f>
        <x:v>91.5</x:v>
      </x:c>
      <x:c r="J152" s="14" t="n">
        <x:f>IF('Catalogo Ferramenta'!J152="",22,'Catalogo Ferramenta'!J152)</x:f>
        <x:v>22</x:v>
      </x:c>
      <x:c r="K152" s="14" t="n">
        <x:f>IF('Catalogo Ferramenta'!K152="",0,'Catalogo Ferramenta'!K152)</x:f>
        <x:v>0</x:v>
      </x:c>
      <x:c r="L152" s="14" t="n">
        <x:f>1</x:f>
        <x:v>1</x:v>
      </x:c>
      <x:c r="M152" t="n">
        <x:f>'Catalogo Ferramenta'!L152</x:f>
        <x:v>0</x:v>
      </x:c>
      <x:c r="N152" t="n">
        <x:f>'Catalogo Ferramenta'!M152</x:f>
        <x:v>0</x:v>
      </x:c>
      <x:c r="O152" t="str">
        <x:f>'Catalogo Ferramenta'!N152</x:f>
        <x:v>BLACK+DECKER</x:v>
      </x:c>
      <x:c r="P152" t="str">
        <x:f>'Catalogo Ferramenta'!P152</x:f>
        <x:v>Catalogo Black+Decker Lo Specialista 2026, pagina 80. Prezzi se presenti: raccomandati dal catalogo.</x:v>
      </x:c>
      <x:c r="Q152" s="14" t="n">
        <x:f>'Catalogo Ferramenta'!R152</x:f>
        <x:v>80</x:v>
      </x:c>
      <x:c r="R152" t="str">
        <x:f>'Catalogo Ferramenta'!S152</x:f>
        <x:v>B+D_CATALOGO Lo Specialista 2026.pdf</x:v>
      </x:c>
      <x:c r="S152" s="45" t="b">
        <x:f>AND(D152&lt;&gt;"",B152&lt;&gt;"")</x:f>
        <x:v>1</x:v>
      </x:c>
      <x:c r="T152" t="str">
        <x:f>TEXTJOIN("; ",TRUE,IF(D152="","manca nome",""),IF(B152="","manca barcode",""),IF(H152=0,"prezzo costo da compilare",""),IF(I152=0,"prezzo vendita da compilare",""),IF(K152=0,"quantità da compilare",""))</x:f>
        <x:v>quantità da compilare</x:v>
      </x:c>
    </x:row>
    <x:row r="153">
      <x:c r="A153" t="str">
        <x:f>'Catalogo Ferramenta'!A153</x:f>
        <x:v>BD-0152</x:v>
      </x:c>
      <x:c r="B153" t="str">
        <x:f>'Catalogo Ferramenta'!B153</x:f>
        <x:v>5035048682708</x:v>
      </x:c>
      <x:c r="C153" t="str">
        <x:f>'Catalogo Ferramenta'!C153</x:f>
        <x:v>BEMW451BH-QS</x:v>
      </x:c>
      <x:c r="D153" t="str">
        <x:f>'Catalogo Ferramenta'!D153</x:f>
        <x:v>Rasaerba a filo 1200W</x:v>
      </x:c>
      <x:c r="E153" t="str">
        <x:f>'Catalogo Ferramenta'!E153</x:f>
        <x:v>BLACK+DECKER</x:v>
      </x:c>
      <x:c r="F153" t="str">
        <x:f>'Catalogo Ferramenta'!F153</x:f>
        <x:v>GAMMA GIARDINO</x:v>
      </x:c>
      <x:c r="G153" t="str">
        <x:f>'Catalogo Ferramenta'!G153</x:f>
        <x:v>RASAERBA</x:v>
      </x:c>
      <x:c r="H153" s="12" t="n">
        <x:f>IF('Catalogo Ferramenta'!H153="",0,'Catalogo Ferramenta'!H153)</x:f>
        <x:v>82.8</x:v>
      </x:c>
      <x:c r="I153" s="12" t="n">
        <x:f>IF('Catalogo Ferramenta'!I153="",0,'Catalogo Ferramenta'!I153)</x:f>
        <x:v>101</x:v>
      </x:c>
      <x:c r="J153" s="14" t="n">
        <x:f>IF('Catalogo Ferramenta'!J153="",22,'Catalogo Ferramenta'!J153)</x:f>
        <x:v>22</x:v>
      </x:c>
      <x:c r="K153" s="14" t="n">
        <x:f>IF('Catalogo Ferramenta'!K153="",0,'Catalogo Ferramenta'!K153)</x:f>
        <x:v>0</x:v>
      </x:c>
      <x:c r="L153" s="14" t="n">
        <x:f>1</x:f>
        <x:v>1</x:v>
      </x:c>
      <x:c r="M153" t="n">
        <x:f>'Catalogo Ferramenta'!L153</x:f>
        <x:v>0</x:v>
      </x:c>
      <x:c r="N153" t="n">
        <x:f>'Catalogo Ferramenta'!M153</x:f>
        <x:v>0</x:v>
      </x:c>
      <x:c r="O153" t="str">
        <x:f>'Catalogo Ferramenta'!N153</x:f>
        <x:v>BLACK+DECKER</x:v>
      </x:c>
      <x:c r="P153" t="str">
        <x:f>'Catalogo Ferramenta'!P153</x:f>
        <x:v>Catalogo Black+Decker Lo Specialista 2026, pagina 80. Prezzi se presenti: raccomandati dal catalogo.</x:v>
      </x:c>
      <x:c r="Q153" s="14" t="n">
        <x:f>'Catalogo Ferramenta'!R153</x:f>
        <x:v>80</x:v>
      </x:c>
      <x:c r="R153" t="str">
        <x:f>'Catalogo Ferramenta'!S153</x:f>
        <x:v>B+D_CATALOGO Lo Specialista 2026.pdf</x:v>
      </x:c>
      <x:c r="S153" s="45" t="b">
        <x:f>AND(D153&lt;&gt;"",B153&lt;&gt;"")</x:f>
        <x:v>1</x:v>
      </x:c>
      <x:c r="T153" t="str">
        <x:f>TEXTJOIN("; ",TRUE,IF(D153="","manca nome",""),IF(B153="","manca barcode",""),IF(H153=0,"prezzo costo da compilare",""),IF(I153=0,"prezzo vendita da compilare",""),IF(K153=0,"quantità da compilare",""))</x:f>
        <x:v>quantità da compilare</x:v>
      </x:c>
    </x:row>
    <x:row r="154">
      <x:c r="A154" t="str">
        <x:f>'Catalogo Ferramenta'!A154</x:f>
        <x:v>BD-0153</x:v>
      </x:c>
      <x:c r="B154" t="str">
        <x:f>'Catalogo Ferramenta'!B154</x:f>
        <x:v>5035048682739</x:v>
      </x:c>
      <x:c r="C154" t="str">
        <x:f>'Catalogo Ferramenta'!C154</x:f>
        <x:v>BEMW461BH-QS</x:v>
      </x:c>
      <x:c r="D154" t="str">
        <x:f>'Catalogo Ferramenta'!D154</x:f>
        <x:v>Rasaerba a filo 1400W</x:v>
      </x:c>
      <x:c r="E154" t="str">
        <x:f>'Catalogo Ferramenta'!E154</x:f>
        <x:v>BLACK+DECKER</x:v>
      </x:c>
      <x:c r="F154" t="str">
        <x:f>'Catalogo Ferramenta'!F154</x:f>
        <x:v>GAMMA GIARDINO</x:v>
      </x:c>
      <x:c r="G154" t="str">
        <x:f>'Catalogo Ferramenta'!G154</x:f>
        <x:v>RASAERBA</x:v>
      </x:c>
      <x:c r="H154" s="12" t="n">
        <x:f>IF('Catalogo Ferramenta'!H154="",0,'Catalogo Ferramenta'!H154)</x:f>
        <x:v>127</x:v>
      </x:c>
      <x:c r="I154" s="12" t="n">
        <x:f>IF('Catalogo Ferramenta'!I154="",0,'Catalogo Ferramenta'!I154)</x:f>
        <x:v>154.9</x:v>
      </x:c>
      <x:c r="J154" s="14" t="n">
        <x:f>IF('Catalogo Ferramenta'!J154="",22,'Catalogo Ferramenta'!J154)</x:f>
        <x:v>22</x:v>
      </x:c>
      <x:c r="K154" s="14" t="n">
        <x:f>IF('Catalogo Ferramenta'!K154="",0,'Catalogo Ferramenta'!K154)</x:f>
        <x:v>0</x:v>
      </x:c>
      <x:c r="L154" s="14" t="n">
        <x:f>1</x:f>
        <x:v>1</x:v>
      </x:c>
      <x:c r="M154" t="n">
        <x:f>'Catalogo Ferramenta'!L154</x:f>
        <x:v>0</x:v>
      </x:c>
      <x:c r="N154" t="n">
        <x:f>'Catalogo Ferramenta'!M154</x:f>
        <x:v>0</x:v>
      </x:c>
      <x:c r="O154" t="str">
        <x:f>'Catalogo Ferramenta'!N154</x:f>
        <x:v>BLACK+DECKER</x:v>
      </x:c>
      <x:c r="P154" t="str">
        <x:f>'Catalogo Ferramenta'!P154</x:f>
        <x:v>Catalogo Black+Decker Lo Specialista 2026, pagina 81. Prezzi se presenti: raccomandati dal catalogo.</x:v>
      </x:c>
      <x:c r="Q154" s="14" t="n">
        <x:f>'Catalogo Ferramenta'!R154</x:f>
        <x:v>81</x:v>
      </x:c>
      <x:c r="R154" t="str">
        <x:f>'Catalogo Ferramenta'!S154</x:f>
        <x:v>B+D_CATALOGO Lo Specialista 2026.pdf</x:v>
      </x:c>
      <x:c r="S154" s="45" t="b">
        <x:f>AND(D154&lt;&gt;"",B154&lt;&gt;"")</x:f>
        <x:v>1</x:v>
      </x:c>
      <x:c r="T154" t="str">
        <x:f>TEXTJOIN("; ",TRUE,IF(D154="","manca nome",""),IF(B154="","manca barcode",""),IF(H154=0,"prezzo costo da compilare",""),IF(I154=0,"prezzo vendita da compilare",""),IF(K154=0,"quantità da compilare",""))</x:f>
        <x:v>quantità da compilare</x:v>
      </x:c>
    </x:row>
    <x:row r="155">
      <x:c r="A155" t="str">
        <x:f>'Catalogo Ferramenta'!A155</x:f>
        <x:v>BD-0154</x:v>
      </x:c>
      <x:c r="B155" t="str">
        <x:f>'Catalogo Ferramenta'!B155</x:f>
        <x:v>5035048682807</x:v>
      </x:c>
      <x:c r="C155" t="str">
        <x:f>'Catalogo Ferramenta'!C155</x:f>
        <x:v>BEMW471ES-QS</x:v>
      </x:c>
      <x:c r="D155" t="str">
        <x:f>'Catalogo Ferramenta'!D155</x:f>
        <x:v>Rasaerba a filo 1600W</x:v>
      </x:c>
      <x:c r="E155" t="str">
        <x:f>'Catalogo Ferramenta'!E155</x:f>
        <x:v>BLACK+DECKER</x:v>
      </x:c>
      <x:c r="F155" t="str">
        <x:f>'Catalogo Ferramenta'!F155</x:f>
        <x:v>GAMMA GIARDINO</x:v>
      </x:c>
      <x:c r="G155" t="str">
        <x:f>'Catalogo Ferramenta'!G155</x:f>
        <x:v>RASAERBA</x:v>
      </x:c>
      <x:c r="H155" s="12" t="n">
        <x:f>IF('Catalogo Ferramenta'!H155="",0,'Catalogo Ferramenta'!H155)</x:f>
        <x:v>163.9</x:v>
      </x:c>
      <x:c r="I155" s="12" t="n">
        <x:f>IF('Catalogo Ferramenta'!I155="",0,'Catalogo Ferramenta'!I155)</x:f>
        <x:v>200</x:v>
      </x:c>
      <x:c r="J155" s="14" t="n">
        <x:f>IF('Catalogo Ferramenta'!J155="",22,'Catalogo Ferramenta'!J155)</x:f>
        <x:v>22</x:v>
      </x:c>
      <x:c r="K155" s="14" t="n">
        <x:f>IF('Catalogo Ferramenta'!K155="",0,'Catalogo Ferramenta'!K155)</x:f>
        <x:v>0</x:v>
      </x:c>
      <x:c r="L155" s="14" t="n">
        <x:f>1</x:f>
        <x:v>1</x:v>
      </x:c>
      <x:c r="M155" t="n">
        <x:f>'Catalogo Ferramenta'!L155</x:f>
        <x:v>0</x:v>
      </x:c>
      <x:c r="N155" t="n">
        <x:f>'Catalogo Ferramenta'!M155</x:f>
        <x:v>0</x:v>
      </x:c>
      <x:c r="O155" t="str">
        <x:f>'Catalogo Ferramenta'!N155</x:f>
        <x:v>BLACK+DECKER</x:v>
      </x:c>
      <x:c r="P155" t="str">
        <x:f>'Catalogo Ferramenta'!P155</x:f>
        <x:v>Catalogo Black+Decker Lo Specialista 2026, pagina 82. Prezzi se presenti: raccomandati dal catalogo.</x:v>
      </x:c>
      <x:c r="Q155" s="14" t="n">
        <x:f>'Catalogo Ferramenta'!R155</x:f>
        <x:v>82</x:v>
      </x:c>
      <x:c r="R155" t="str">
        <x:f>'Catalogo Ferramenta'!S155</x:f>
        <x:v>B+D_CATALOGO Lo Specialista 2026.pdf</x:v>
      </x:c>
      <x:c r="S155" s="45" t="b">
        <x:f>AND(D155&lt;&gt;"",B155&lt;&gt;"")</x:f>
        <x:v>1</x:v>
      </x:c>
      <x:c r="T155" t="str">
        <x:f>TEXTJOIN("; ",TRUE,IF(D155="","manca nome",""),IF(B155="","manca barcode",""),IF(H155=0,"prezzo costo da compilare",""),IF(I155=0,"prezzo vendita da compilare",""),IF(K155=0,"quantità da compilare",""))</x:f>
        <x:v>quantità da compilare</x:v>
      </x:c>
    </x:row>
    <x:row r="156">
      <x:c r="A156" t="str">
        <x:f>'Catalogo Ferramenta'!A156</x:f>
        <x:v>BD-0155</x:v>
      </x:c>
      <x:c r="B156" t="str">
        <x:f>'Catalogo Ferramenta'!B156</x:f>
        <x:v>5035048682852</x:v>
      </x:c>
      <x:c r="C156" t="str">
        <x:f>'Catalogo Ferramenta'!C156</x:f>
        <x:v>BEMW481ES-QS</x:v>
      </x:c>
      <x:c r="D156" t="str">
        <x:f>'Catalogo Ferramenta'!D156</x:f>
        <x:v>Rasaerba a filo 1800W</x:v>
      </x:c>
      <x:c r="E156" t="str">
        <x:f>'Catalogo Ferramenta'!E156</x:f>
        <x:v>BLACK+DECKER</x:v>
      </x:c>
      <x:c r="F156" t="str">
        <x:f>'Catalogo Ferramenta'!F156</x:f>
        <x:v>GAMMA GIARDINO</x:v>
      </x:c>
      <x:c r="G156" t="str">
        <x:f>'Catalogo Ferramenta'!G156</x:f>
        <x:v>RASAERBA</x:v>
      </x:c>
      <x:c r="H156" s="12" t="n">
        <x:f>IF('Catalogo Ferramenta'!H156="",0,'Catalogo Ferramenta'!H156)</x:f>
        <x:v>196.6</x:v>
      </x:c>
      <x:c r="I156" s="12" t="n">
        <x:f>IF('Catalogo Ferramenta'!I156="",0,'Catalogo Ferramenta'!I156)</x:f>
        <x:v>239.9</x:v>
      </x:c>
      <x:c r="J156" s="14" t="n">
        <x:f>IF('Catalogo Ferramenta'!J156="",22,'Catalogo Ferramenta'!J156)</x:f>
        <x:v>22</x:v>
      </x:c>
      <x:c r="K156" s="14" t="n">
        <x:f>IF('Catalogo Ferramenta'!K156="",0,'Catalogo Ferramenta'!K156)</x:f>
        <x:v>0</x:v>
      </x:c>
      <x:c r="L156" s="14" t="n">
        <x:f>1</x:f>
        <x:v>1</x:v>
      </x:c>
      <x:c r="M156" t="n">
        <x:f>'Catalogo Ferramenta'!L156</x:f>
        <x:v>0</x:v>
      </x:c>
      <x:c r="N156" t="n">
        <x:f>'Catalogo Ferramenta'!M156</x:f>
        <x:v>0</x:v>
      </x:c>
      <x:c r="O156" t="str">
        <x:f>'Catalogo Ferramenta'!N156</x:f>
        <x:v>BLACK+DECKER</x:v>
      </x:c>
      <x:c r="P156" t="str">
        <x:f>'Catalogo Ferramenta'!P156</x:f>
        <x:v>Catalogo Black+Decker Lo Specialista 2026, pagina 83. Prezzi se presenti: raccomandati dal catalogo.</x:v>
      </x:c>
      <x:c r="Q156" s="14" t="n">
        <x:f>'Catalogo Ferramenta'!R156</x:f>
        <x:v>83</x:v>
      </x:c>
      <x:c r="R156" t="str">
        <x:f>'Catalogo Ferramenta'!S156</x:f>
        <x:v>B+D_CATALOGO Lo Specialista 2026.pdf</x:v>
      </x:c>
      <x:c r="S156" s="45" t="b">
        <x:f>AND(D156&lt;&gt;"",B156&lt;&gt;"")</x:f>
        <x:v>1</x:v>
      </x:c>
      <x:c r="T156" t="str">
        <x:f>TEXTJOIN("; ",TRUE,IF(D156="","manca nome",""),IF(B156="","manca barcode",""),IF(H156=0,"prezzo costo da compilare",""),IF(I156=0,"prezzo vendita da compilare",""),IF(K156=0,"quantità da compilare",""))</x:f>
        <x:v>quantità da compilare</x:v>
      </x:c>
    </x:row>
    <x:row r="157">
      <x:c r="A157" t="str">
        <x:f>'Catalogo Ferramenta'!A157</x:f>
        <x:v>BD-0156</x:v>
      </x:c>
      <x:c r="B157" t="str">
        <x:f>'Catalogo Ferramenta'!B157</x:f>
        <x:v>5035048706879</x:v>
      </x:c>
      <x:c r="C157" t="str">
        <x:f>'Catalogo Ferramenta'!C157</x:f>
        <x:v>BEMWH551-QS</x:v>
      </x:c>
      <x:c r="D157" t="str">
        <x:f>'Catalogo Ferramenta'!D157</x:f>
        <x:v>Rasaerba a filo 1200W a cuscino d'aria</x:v>
      </x:c>
      <x:c r="E157" t="str">
        <x:f>'Catalogo Ferramenta'!E157</x:f>
        <x:v>BLACK+DECKER</x:v>
      </x:c>
      <x:c r="F157" t="str">
        <x:f>'Catalogo Ferramenta'!F157</x:f>
        <x:v>GAMMA GIARDINO</x:v>
      </x:c>
      <x:c r="G157" t="str">
        <x:f>'Catalogo Ferramenta'!G157</x:f>
        <x:v>RASAERBA</x:v>
      </x:c>
      <x:c r="H157" s="12" t="n">
        <x:f>IF('Catalogo Ferramenta'!H157="",0,'Catalogo Ferramenta'!H157)</x:f>
        <x:v>65.5</x:v>
      </x:c>
      <x:c r="I157" s="12" t="n">
        <x:f>IF('Catalogo Ferramenta'!I157="",0,'Catalogo Ferramenta'!I157)</x:f>
        <x:v>79.9</x:v>
      </x:c>
      <x:c r="J157" s="14" t="n">
        <x:f>IF('Catalogo Ferramenta'!J157="",22,'Catalogo Ferramenta'!J157)</x:f>
        <x:v>22</x:v>
      </x:c>
      <x:c r="K157" s="14" t="n">
        <x:f>IF('Catalogo Ferramenta'!K157="",0,'Catalogo Ferramenta'!K157)</x:f>
        <x:v>0</x:v>
      </x:c>
      <x:c r="L157" s="14" t="n">
        <x:f>1</x:f>
        <x:v>1</x:v>
      </x:c>
      <x:c r="M157" t="n">
        <x:f>'Catalogo Ferramenta'!L157</x:f>
        <x:v>0</x:v>
      </x:c>
      <x:c r="N157" t="n">
        <x:f>'Catalogo Ferramenta'!M157</x:f>
        <x:v>0</x:v>
      </x:c>
      <x:c r="O157" t="str">
        <x:f>'Catalogo Ferramenta'!N157</x:f>
        <x:v>BLACK+DECKER</x:v>
      </x:c>
      <x:c r="P157" t="str">
        <x:f>'Catalogo Ferramenta'!P157</x:f>
        <x:v>Catalogo Black+Decker Lo Specialista 2026, pagina 83. Prezzi se presenti: raccomandati dal catalogo.</x:v>
      </x:c>
      <x:c r="Q157" s="14" t="n">
        <x:f>'Catalogo Ferramenta'!R157</x:f>
        <x:v>83</x:v>
      </x:c>
      <x:c r="R157" t="str">
        <x:f>'Catalogo Ferramenta'!S157</x:f>
        <x:v>B+D_CATALOGO Lo Specialista 2026.pdf</x:v>
      </x:c>
      <x:c r="S157" s="45" t="b">
        <x:f>AND(D157&lt;&gt;"",B157&lt;&gt;"")</x:f>
        <x:v>1</x:v>
      </x:c>
      <x:c r="T157" t="str">
        <x:f>TEXTJOIN("; ",TRUE,IF(D157="","manca nome",""),IF(B157="","manca barcode",""),IF(H157=0,"prezzo costo da compilare",""),IF(I157=0,"prezzo vendita da compilare",""),IF(K157=0,"quantità da compilare",""))</x:f>
        <x:v>quantità da compilare</x:v>
      </x:c>
    </x:row>
    <x:row r="158">
      <x:c r="A158" t="str">
        <x:f>'Catalogo Ferramenta'!A158</x:f>
        <x:v>BD-0157</x:v>
      </x:c>
      <x:c r="B158" t="str">
        <x:f>'Catalogo Ferramenta'!B158</x:f>
        <x:v>5035048847657</x:v>
      </x:c>
      <x:c r="C158" t="str">
        <x:f>'Catalogo Ferramenta'!C158</x:f>
        <x:v>BEMWP340-QS</x:v>
      </x:c>
      <x:c r="D158" t="str">
        <x:f>'Catalogo Ferramenta'!D158</x:f>
        <x:v>Rasaerba a filo 1400W</x:v>
      </x:c>
      <x:c r="E158" t="str">
        <x:f>'Catalogo Ferramenta'!E158</x:f>
        <x:v>BLACK+DECKER</x:v>
      </x:c>
      <x:c r="F158" t="str">
        <x:f>'Catalogo Ferramenta'!F158</x:f>
        <x:v>GAMMA GIARDINO</x:v>
      </x:c>
      <x:c r="G158" t="str">
        <x:f>'Catalogo Ferramenta'!G158</x:f>
        <x:v>RASAERBA</x:v>
      </x:c>
      <x:c r="H158" s="12" t="n">
        <x:f>IF('Catalogo Ferramenta'!H158="",0,'Catalogo Ferramenta'!H158)</x:f>
        <x:v>107.9</x:v>
      </x:c>
      <x:c r="I158" s="12" t="n">
        <x:f>IF('Catalogo Ferramenta'!I158="",0,'Catalogo Ferramenta'!I158)</x:f>
        <x:v>131.6</x:v>
      </x:c>
      <x:c r="J158" s="14" t="n">
        <x:f>IF('Catalogo Ferramenta'!J158="",22,'Catalogo Ferramenta'!J158)</x:f>
        <x:v>22</x:v>
      </x:c>
      <x:c r="K158" s="14" t="n">
        <x:f>IF('Catalogo Ferramenta'!K158="",0,'Catalogo Ferramenta'!K158)</x:f>
        <x:v>0</x:v>
      </x:c>
      <x:c r="L158" s="14" t="n">
        <x:f>1</x:f>
        <x:v>1</x:v>
      </x:c>
      <x:c r="M158" t="n">
        <x:f>'Catalogo Ferramenta'!L158</x:f>
        <x:v>0</x:v>
      </x:c>
      <x:c r="N158" t="n">
        <x:f>'Catalogo Ferramenta'!M158</x:f>
        <x:v>0</x:v>
      </x:c>
      <x:c r="O158" t="str">
        <x:f>'Catalogo Ferramenta'!N158</x:f>
        <x:v>BLACK+DECKER</x:v>
      </x:c>
      <x:c r="P158" t="str">
        <x:f>'Catalogo Ferramenta'!P158</x:f>
        <x:v>Catalogo Black+Decker Lo Specialista 2026, pagina 81. Prezzi se presenti: raccomandati dal catalogo.</x:v>
      </x:c>
      <x:c r="Q158" s="14" t="n">
        <x:f>'Catalogo Ferramenta'!R158</x:f>
        <x:v>81</x:v>
      </x:c>
      <x:c r="R158" t="str">
        <x:f>'Catalogo Ferramenta'!S158</x:f>
        <x:v>B+D_CATALOGO Lo Specialista 2026.pdf</x:v>
      </x:c>
      <x:c r="S158" s="45" t="b">
        <x:f>AND(D158&lt;&gt;"",B158&lt;&gt;"")</x:f>
        <x:v>1</x:v>
      </x:c>
      <x:c r="T158" t="str">
        <x:f>TEXTJOIN("; ",TRUE,IF(D158="","manca nome",""),IF(B158="","manca barcode",""),IF(H158=0,"prezzo costo da compilare",""),IF(I158=0,"prezzo vendita da compilare",""),IF(K158=0,"quantità da compilare",""))</x:f>
        <x:v>quantità da compilare</x:v>
      </x:c>
    </x:row>
    <x:row r="159">
      <x:c r="A159" t="str">
        <x:f>'Catalogo Ferramenta'!A159</x:f>
        <x:v>BD-0158</x:v>
      </x:c>
      <x:c r="B159" t="str">
        <x:f>'Catalogo Ferramenta'!B159</x:f>
        <x:v>5035048847633</x:v>
      </x:c>
      <x:c r="C159" t="str">
        <x:f>'Catalogo Ferramenta'!C159</x:f>
        <x:v>BEMWP400-QS</x:v>
      </x:c>
      <x:c r="D159" t="str">
        <x:f>'Catalogo Ferramenta'!D159</x:f>
        <x:v>Rasaerba a filo 1800W</x:v>
      </x:c>
      <x:c r="E159" t="str">
        <x:f>'Catalogo Ferramenta'!E159</x:f>
        <x:v>BLACK+DECKER</x:v>
      </x:c>
      <x:c r="F159" t="str">
        <x:f>'Catalogo Ferramenta'!F159</x:f>
        <x:v>GAMMA GIARDINO</x:v>
      </x:c>
      <x:c r="G159" t="str">
        <x:f>'Catalogo Ferramenta'!G159</x:f>
        <x:v>RASAERBA</x:v>
      </x:c>
      <x:c r="H159" s="12" t="n">
        <x:f>IF('Catalogo Ferramenta'!H159="",0,'Catalogo Ferramenta'!H159)</x:f>
        <x:v>136.1</x:v>
      </x:c>
      <x:c r="I159" s="12" t="n">
        <x:f>IF('Catalogo Ferramenta'!I159="",0,'Catalogo Ferramenta'!I159)</x:f>
        <x:v>166</x:v>
      </x:c>
      <x:c r="J159" s="14" t="n">
        <x:f>IF('Catalogo Ferramenta'!J159="",22,'Catalogo Ferramenta'!J159)</x:f>
        <x:v>22</x:v>
      </x:c>
      <x:c r="K159" s="14" t="n">
        <x:f>IF('Catalogo Ferramenta'!K159="",0,'Catalogo Ferramenta'!K159)</x:f>
        <x:v>0</x:v>
      </x:c>
      <x:c r="L159" s="14" t="n">
        <x:f>1</x:f>
        <x:v>1</x:v>
      </x:c>
      <x:c r="M159" t="n">
        <x:f>'Catalogo Ferramenta'!L159</x:f>
        <x:v>0</x:v>
      </x:c>
      <x:c r="N159" t="n">
        <x:f>'Catalogo Ferramenta'!M159</x:f>
        <x:v>0</x:v>
      </x:c>
      <x:c r="O159" t="str">
        <x:f>'Catalogo Ferramenta'!N159</x:f>
        <x:v>BLACK+DECKER</x:v>
      </x:c>
      <x:c r="P159" t="str">
        <x:f>'Catalogo Ferramenta'!P159</x:f>
        <x:v>Catalogo Black+Decker Lo Specialista 2026, pagina 82. Prezzi se presenti: raccomandati dal catalogo.</x:v>
      </x:c>
      <x:c r="Q159" s="14" t="n">
        <x:f>'Catalogo Ferramenta'!R159</x:f>
        <x:v>82</x:v>
      </x:c>
      <x:c r="R159" t="str">
        <x:f>'Catalogo Ferramenta'!S159</x:f>
        <x:v>B+D_CATALOGO Lo Specialista 2026.pdf</x:v>
      </x:c>
      <x:c r="S159" s="45" t="b">
        <x:f>AND(D159&lt;&gt;"",B159&lt;&gt;"")</x:f>
        <x:v>1</x:v>
      </x:c>
      <x:c r="T159" t="str">
        <x:f>TEXTJOIN("; ",TRUE,IF(D159="","manca nome",""),IF(B159="","manca barcode",""),IF(H159=0,"prezzo costo da compilare",""),IF(I159=0,"prezzo vendita da compilare",""),IF(K159=0,"quantità da compilare",""))</x:f>
        <x:v>quantità da compilare</x:v>
      </x:c>
    </x:row>
    <x:row r="160">
      <x:c r="A160" t="str">
        <x:f>'Catalogo Ferramenta'!A160</x:f>
        <x:v>BD-0159</x:v>
      </x:c>
      <x:c r="B160" t="str">
        <x:f>'Catalogo Ferramenta'!B160</x:f>
        <x:v>5035048737279</x:v>
      </x:c>
      <x:c r="C160" t="str">
        <x:f>'Catalogo Ferramenta'!C160</x:f>
        <x:v>BES301-QS</x:v>
      </x:c>
      <x:c r="D160" t="str">
        <x:f>'Catalogo Ferramenta'!D160</x:f>
        <x:v>Sega a gattuccio a filo 750W con morsetti blocca ramo</x:v>
      </x:c>
      <x:c r="E160" t="str">
        <x:f>'Catalogo Ferramenta'!E160</x:f>
        <x:v>BLACK+DECKER</x:v>
      </x:c>
      <x:c r="F160" t="str">
        <x:f>'Catalogo Ferramenta'!F160</x:f>
        <x:v>ELETTROUTENSILI</x:v>
      </x:c>
      <x:c r="G160" t="str">
        <x:f>'Catalogo Ferramenta'!G160</x:f>
        <x:v>UTENSILI PER TAGLIARE</x:v>
      </x:c>
      <x:c r="H160" s="12" t="n">
        <x:f>IF('Catalogo Ferramenta'!H160="",0,'Catalogo Ferramenta'!H160)</x:f>
        <x:v>57.3</x:v>
      </x:c>
      <x:c r="I160" s="12" t="n">
        <x:f>IF('Catalogo Ferramenta'!I160="",0,'Catalogo Ferramenta'!I160)</x:f>
        <x:v>69.9</x:v>
      </x:c>
      <x:c r="J160" s="14" t="n">
        <x:f>IF('Catalogo Ferramenta'!J160="",22,'Catalogo Ferramenta'!J160)</x:f>
        <x:v>22</x:v>
      </x:c>
      <x:c r="K160" s="14" t="n">
        <x:f>IF('Catalogo Ferramenta'!K160="",0,'Catalogo Ferramenta'!K160)</x:f>
        <x:v>0</x:v>
      </x:c>
      <x:c r="L160" s="14" t="n">
        <x:f>1</x:f>
        <x:v>1</x:v>
      </x:c>
      <x:c r="M160" t="n">
        <x:f>'Catalogo Ferramenta'!L160</x:f>
        <x:v>0</x:v>
      </x:c>
      <x:c r="N160" t="n">
        <x:f>'Catalogo Ferramenta'!M160</x:f>
        <x:v>0</x:v>
      </x:c>
      <x:c r="O160" t="str">
        <x:f>'Catalogo Ferramenta'!N160</x:f>
        <x:v>BLACK+DECKER</x:v>
      </x:c>
      <x:c r="P160" t="str">
        <x:f>'Catalogo Ferramenta'!P160</x:f>
        <x:v>Catalogo Black+Decker Lo Specialista 2026, pagina 33. Prezzi se presenti: raccomandati dal catalogo.</x:v>
      </x:c>
      <x:c r="Q160" s="14" t="n">
        <x:f>'Catalogo Ferramenta'!R160</x:f>
        <x:v>33</x:v>
      </x:c>
      <x:c r="R160" t="str">
        <x:f>'Catalogo Ferramenta'!S160</x:f>
        <x:v>B+D_CATALOGO Lo Specialista 2026.pdf</x:v>
      </x:c>
      <x:c r="S160" s="45" t="b">
        <x:f>AND(D160&lt;&gt;"",B160&lt;&gt;"")</x:f>
        <x:v>1</x:v>
      </x:c>
      <x:c r="T160" t="str">
        <x:f>TEXTJOIN("; ",TRUE,IF(D160="","manca nome",""),IF(B160="","manca barcode",""),IF(H160=0,"prezzo costo da compilare",""),IF(I160=0,"prezzo vendita da compilare",""),IF(K160=0,"quantità da compilare",""))</x:f>
        <x:v>quantità da compilare</x:v>
      </x:c>
    </x:row>
    <x:row r="161">
      <x:c r="A161" t="str">
        <x:f>'Catalogo Ferramenta'!A161</x:f>
        <x:v>BD-0160</x:v>
      </x:c>
      <x:c r="B161" t="str">
        <x:f>'Catalogo Ferramenta'!B161</x:f>
        <x:v>5035048713877</x:v>
      </x:c>
      <x:c r="C161" t="str">
        <x:f>'Catalogo Ferramenta'!C161</x:f>
        <x:v>BES510-QS</x:v>
      </x:c>
      <x:c r="D161" t="str">
        <x:f>'Catalogo Ferramenta'!D161</x:f>
        <x:v>Mini sega circolare a filo 400W</x:v>
      </x:c>
      <x:c r="E161" t="str">
        <x:f>'Catalogo Ferramenta'!E161</x:f>
        <x:v>BLACK+DECKER</x:v>
      </x:c>
      <x:c r="F161" t="str">
        <x:f>'Catalogo Ferramenta'!F161</x:f>
        <x:v>ELETTROUTENSILI</x:v>
      </x:c>
      <x:c r="G161" t="str">
        <x:f>'Catalogo Ferramenta'!G161</x:f>
        <x:v>UTENSILI PER TAGLIARE</x:v>
      </x:c>
      <x:c r="H161" s="12" t="n">
        <x:f>IF('Catalogo Ferramenta'!H161="",0,'Catalogo Ferramenta'!H161)</x:f>
        <x:v>65.5</x:v>
      </x:c>
      <x:c r="I161" s="12" t="n">
        <x:f>IF('Catalogo Ferramenta'!I161="",0,'Catalogo Ferramenta'!I161)</x:f>
        <x:v>79.9</x:v>
      </x:c>
      <x:c r="J161" s="14" t="n">
        <x:f>IF('Catalogo Ferramenta'!J161="",22,'Catalogo Ferramenta'!J161)</x:f>
        <x:v>22</x:v>
      </x:c>
      <x:c r="K161" s="14" t="n">
        <x:f>IF('Catalogo Ferramenta'!K161="",0,'Catalogo Ferramenta'!K161)</x:f>
        <x:v>0</x:v>
      </x:c>
      <x:c r="L161" s="14" t="n">
        <x:f>1</x:f>
        <x:v>1</x:v>
      </x:c>
      <x:c r="M161" t="n">
        <x:f>'Catalogo Ferramenta'!L161</x:f>
        <x:v>0</x:v>
      </x:c>
      <x:c r="N161" t="n">
        <x:f>'Catalogo Ferramenta'!M161</x:f>
        <x:v>0</x:v>
      </x:c>
      <x:c r="O161" t="str">
        <x:f>'Catalogo Ferramenta'!N161</x:f>
        <x:v>BLACK+DECKER</x:v>
      </x:c>
      <x:c r="P161" t="str">
        <x:f>'Catalogo Ferramenta'!P161</x:f>
        <x:v>Catalogo Black+Decker Lo Specialista 2026, pagina 35. Prezzi se presenti: raccomandati dal catalogo.</x:v>
      </x:c>
      <x:c r="Q161" s="14" t="n">
        <x:f>'Catalogo Ferramenta'!R161</x:f>
        <x:v>35</x:v>
      </x:c>
      <x:c r="R161" t="str">
        <x:f>'Catalogo Ferramenta'!S161</x:f>
        <x:v>B+D_CATALOGO Lo Specialista 2026.pdf</x:v>
      </x:c>
      <x:c r="S161" s="45" t="b">
        <x:f>AND(D161&lt;&gt;"",B161&lt;&gt;"")</x:f>
        <x:v>1</x:v>
      </x:c>
      <x:c r="T161" t="str">
        <x:f>TEXTJOIN("; ",TRUE,IF(D161="","manca nome",""),IF(B161="","manca barcode",""),IF(H161=0,"prezzo costo da compilare",""),IF(I161=0,"prezzo vendita da compilare",""),IF(K161=0,"quantità da compilare",""))</x:f>
        <x:v>quantità da compilare</x:v>
      </x:c>
    </x:row>
    <x:row r="162">
      <x:c r="A162" t="str">
        <x:f>'Catalogo Ferramenta'!A162</x:f>
        <x:v>BD-0161</x:v>
      </x:c>
      <x:c r="B162" t="str">
        <x:f>'Catalogo Ferramenta'!B162</x:f>
        <x:v>5035048808900</x:v>
      </x:c>
      <x:c r="C162" t="str">
        <x:f>'Catalogo Ferramenta'!C162</x:f>
        <x:v>BES602-QS</x:v>
      </x:c>
      <x:c r="D162" t="str">
        <x:f>'Catalogo Ferramenta'!D162</x:f>
        <x:v>Seghetto alternativo 400W</x:v>
      </x:c>
      <x:c r="E162" t="str">
        <x:f>'Catalogo Ferramenta'!E162</x:f>
        <x:v>BLACK+DECKER</x:v>
      </x:c>
      <x:c r="F162" t="str">
        <x:f>'Catalogo Ferramenta'!F162</x:f>
        <x:v>ELETTROUTENSILI</x:v>
      </x:c>
      <x:c r="G162" t="str">
        <x:f>'Catalogo Ferramenta'!G162</x:f>
        <x:v>UTENSILI PER TAGLIARE</x:v>
      </x:c>
      <x:c r="H162" s="12" t="n">
        <x:f>IF('Catalogo Ferramenta'!H162="",0,'Catalogo Ferramenta'!H162)</x:f>
        <x:v>26.9</x:v>
      </x:c>
      <x:c r="I162" s="12" t="n">
        <x:f>IF('Catalogo Ferramenta'!I162="",0,'Catalogo Ferramenta'!I162)</x:f>
        <x:v>32.8</x:v>
      </x:c>
      <x:c r="J162" s="14" t="n">
        <x:f>IF('Catalogo Ferramenta'!J162="",22,'Catalogo Ferramenta'!J162)</x:f>
        <x:v>22</x:v>
      </x:c>
      <x:c r="K162" s="14" t="n">
        <x:f>IF('Catalogo Ferramenta'!K162="",0,'Catalogo Ferramenta'!K162)</x:f>
        <x:v>0</x:v>
      </x:c>
      <x:c r="L162" s="14" t="n">
        <x:f>1</x:f>
        <x:v>1</x:v>
      </x:c>
      <x:c r="M162" t="n">
        <x:f>'Catalogo Ferramenta'!L162</x:f>
        <x:v>0</x:v>
      </x:c>
      <x:c r="N162" t="n">
        <x:f>'Catalogo Ferramenta'!M162</x:f>
        <x:v>0</x:v>
      </x:c>
      <x:c r="O162" t="str">
        <x:f>'Catalogo Ferramenta'!N162</x:f>
        <x:v>BLACK+DECKER</x:v>
      </x:c>
      <x:c r="P162" t="str">
        <x:f>'Catalogo Ferramenta'!P162</x:f>
        <x:v>Catalogo Black+Decker Lo Specialista 2026, pagina 29. Prezzi se presenti: raccomandati dal catalogo.</x:v>
      </x:c>
      <x:c r="Q162" s="14" t="n">
        <x:f>'Catalogo Ferramenta'!R162</x:f>
        <x:v>29</x:v>
      </x:c>
      <x:c r="R162" t="str">
        <x:f>'Catalogo Ferramenta'!S162</x:f>
        <x:v>B+D_CATALOGO Lo Specialista 2026.pdf</x:v>
      </x:c>
      <x:c r="S162" s="45" t="b">
        <x:f>AND(D162&lt;&gt;"",B162&lt;&gt;"")</x:f>
        <x:v>1</x:v>
      </x:c>
      <x:c r="T162" t="str">
        <x:f>TEXTJOIN("; ",TRUE,IF(D162="","manca nome",""),IF(B162="","manca barcode",""),IF(H162=0,"prezzo costo da compilare",""),IF(I162=0,"prezzo vendita da compilare",""),IF(K162=0,"quantità da compilare",""))</x:f>
        <x:v>quantità da compilare</x:v>
      </x:c>
    </x:row>
    <x:row r="163">
      <x:c r="A163" t="str">
        <x:f>'Catalogo Ferramenta'!A163</x:f>
        <x:v>BD-0162</x:v>
      </x:c>
      <x:c r="B163" t="str">
        <x:f>'Catalogo Ferramenta'!B163</x:f>
        <x:v>5035048810927</x:v>
      </x:c>
      <x:c r="C163" t="str">
        <x:f>'Catalogo Ferramenta'!C163</x:f>
        <x:v>BES603-QS</x:v>
      </x:c>
      <x:c r="D163" t="str">
        <x:f>'Catalogo Ferramenta'!D163</x:f>
        <x:v>Seghetto alternativo 400W</x:v>
      </x:c>
      <x:c r="E163" t="str">
        <x:f>'Catalogo Ferramenta'!E163</x:f>
        <x:v>BLACK+DECKER</x:v>
      </x:c>
      <x:c r="F163" t="str">
        <x:f>'Catalogo Ferramenta'!F163</x:f>
        <x:v>ELETTROUTENSILI</x:v>
      </x:c>
      <x:c r="G163" t="str">
        <x:f>'Catalogo Ferramenta'!G163</x:f>
        <x:v>UTENSILI PER TAGLIARE</x:v>
      </x:c>
      <x:c r="H163" s="12" t="n">
        <x:f>IF('Catalogo Ferramenta'!H163="",0,'Catalogo Ferramenta'!H163)</x:f>
        <x:v>29</x:v>
      </x:c>
      <x:c r="I163" s="12" t="n">
        <x:f>IF('Catalogo Ferramenta'!I163="",0,'Catalogo Ferramenta'!I163)</x:f>
        <x:v>35.4</x:v>
      </x:c>
      <x:c r="J163" s="14" t="n">
        <x:f>IF('Catalogo Ferramenta'!J163="",22,'Catalogo Ferramenta'!J163)</x:f>
        <x:v>22</x:v>
      </x:c>
      <x:c r="K163" s="14" t="n">
        <x:f>IF('Catalogo Ferramenta'!K163="",0,'Catalogo Ferramenta'!K163)</x:f>
        <x:v>0</x:v>
      </x:c>
      <x:c r="L163" s="14" t="n">
        <x:f>1</x:f>
        <x:v>1</x:v>
      </x:c>
      <x:c r="M163" t="n">
        <x:f>'Catalogo Ferramenta'!L163</x:f>
        <x:v>0</x:v>
      </x:c>
      <x:c r="N163" t="n">
        <x:f>'Catalogo Ferramenta'!M163</x:f>
        <x:v>0</x:v>
      </x:c>
      <x:c r="O163" t="str">
        <x:f>'Catalogo Ferramenta'!N163</x:f>
        <x:v>BLACK+DECKER</x:v>
      </x:c>
      <x:c r="P163" t="str">
        <x:f>'Catalogo Ferramenta'!P163</x:f>
        <x:v>Catalogo Black+Decker Lo Specialista 2026, pagina 29. Prezzi se presenti: raccomandati dal catalogo.</x:v>
      </x:c>
      <x:c r="Q163" s="14" t="n">
        <x:f>'Catalogo Ferramenta'!R163</x:f>
        <x:v>29</x:v>
      </x:c>
      <x:c r="R163" t="str">
        <x:f>'Catalogo Ferramenta'!S163</x:f>
        <x:v>B+D_CATALOGO Lo Specialista 2026.pdf</x:v>
      </x:c>
      <x:c r="S163" s="45" t="b">
        <x:f>AND(D163&lt;&gt;"",B163&lt;&gt;"")</x:f>
        <x:v>1</x:v>
      </x:c>
      <x:c r="T163" t="str">
        <x:f>TEXTJOIN("; ",TRUE,IF(D163="","manca nome",""),IF(B163="","manca barcode",""),IF(H163=0,"prezzo costo da compilare",""),IF(I163=0,"prezzo vendita da compilare",""),IF(K163=0,"quantità da compilare",""))</x:f>
        <x:v>quantità da compilare</x:v>
      </x:c>
    </x:row>
    <x:row r="164">
      <x:c r="A164" t="str">
        <x:f>'Catalogo Ferramenta'!A164</x:f>
        <x:v>BD-0163</x:v>
      </x:c>
      <x:c r="B164" t="str">
        <x:f>'Catalogo Ferramenta'!B164</x:f>
        <x:v>5035048711538</x:v>
      </x:c>
      <x:c r="C164" t="str">
        <x:f>'Catalogo Ferramenta'!C164</x:f>
        <x:v>BES610-QS</x:v>
      </x:c>
      <x:c r="D164" t="str">
        <x:f>'Catalogo Ferramenta'!D164</x:f>
        <x:v>Seghetto alternativo ad azione pendolare 650W</x:v>
      </x:c>
      <x:c r="E164" t="str">
        <x:f>'Catalogo Ferramenta'!E164</x:f>
        <x:v>BLACK+DECKER</x:v>
      </x:c>
      <x:c r="F164" t="str">
        <x:f>'Catalogo Ferramenta'!F164</x:f>
        <x:v>ELETTROUTENSILI</x:v>
      </x:c>
      <x:c r="G164" t="str">
        <x:f>'Catalogo Ferramenta'!G164</x:f>
        <x:v>UTENSILI PER TAGLIARE</x:v>
      </x:c>
      <x:c r="H164" s="12" t="n">
        <x:f>IF('Catalogo Ferramenta'!H164="",0,'Catalogo Ferramenta'!H164)</x:f>
        <x:v>65.5</x:v>
      </x:c>
      <x:c r="I164" s="12" t="n">
        <x:f>IF('Catalogo Ferramenta'!I164="",0,'Catalogo Ferramenta'!I164)</x:f>
        <x:v>79.9</x:v>
      </x:c>
      <x:c r="J164" s="14" t="n">
        <x:f>IF('Catalogo Ferramenta'!J164="",22,'Catalogo Ferramenta'!J164)</x:f>
        <x:v>22</x:v>
      </x:c>
      <x:c r="K164" s="14" t="n">
        <x:f>IF('Catalogo Ferramenta'!K164="",0,'Catalogo Ferramenta'!K164)</x:f>
        <x:v>0</x:v>
      </x:c>
      <x:c r="L164" s="14" t="n">
        <x:f>1</x:f>
        <x:v>1</x:v>
      </x:c>
      <x:c r="M164" t="n">
        <x:f>'Catalogo Ferramenta'!L164</x:f>
        <x:v>0</x:v>
      </x:c>
      <x:c r="N164" t="n">
        <x:f>'Catalogo Ferramenta'!M164</x:f>
        <x:v>0</x:v>
      </x:c>
      <x:c r="O164" t="str">
        <x:f>'Catalogo Ferramenta'!N164</x:f>
        <x:v>BLACK+DECKER</x:v>
      </x:c>
      <x:c r="P164" t="str">
        <x:f>'Catalogo Ferramenta'!P164</x:f>
        <x:v>Catalogo Black+Decker Lo Specialista 2026, pagina 31. Prezzi se presenti: raccomandati dal catalogo.</x:v>
      </x:c>
      <x:c r="Q164" s="14" t="n">
        <x:f>'Catalogo Ferramenta'!R164</x:f>
        <x:v>31</x:v>
      </x:c>
      <x:c r="R164" t="str">
        <x:f>'Catalogo Ferramenta'!S164</x:f>
        <x:v>B+D_CATALOGO Lo Specialista 2026.pdf</x:v>
      </x:c>
      <x:c r="S164" s="45" t="b">
        <x:f>AND(D164&lt;&gt;"",B164&lt;&gt;"")</x:f>
        <x:v>1</x:v>
      </x:c>
      <x:c r="T164" t="str">
        <x:f>TEXTJOIN("; ",TRUE,IF(D164="","manca nome",""),IF(B164="","manca barcode",""),IF(H164=0,"prezzo costo da compilare",""),IF(I164=0,"prezzo vendita da compilare",""),IF(K164=0,"quantità da compilare",""))</x:f>
        <x:v>quantità da compilare</x:v>
      </x:c>
    </x:row>
    <x:row r="165">
      <x:c r="A165" t="str">
        <x:f>'Catalogo Ferramenta'!A165</x:f>
        <x:v>BD-0164</x:v>
      </x:c>
      <x:c r="B165" t="str">
        <x:f>'Catalogo Ferramenta'!B165</x:f>
        <x:v>5035048711590</x:v>
      </x:c>
      <x:c r="C165" t="str">
        <x:f>'Catalogo Ferramenta'!C165</x:f>
        <x:v>BES610K-QS</x:v>
      </x:c>
      <x:c r="D165" t="str">
        <x:f>'Catalogo Ferramenta'!D165</x:f>
        <x:v>Seghetto alternativo ad azione pendolare 650W in valigetta</x:v>
      </x:c>
      <x:c r="E165" t="str">
        <x:f>'Catalogo Ferramenta'!E165</x:f>
        <x:v>BLACK+DECKER</x:v>
      </x:c>
      <x:c r="F165" t="str">
        <x:f>'Catalogo Ferramenta'!F165</x:f>
        <x:v>ELETTROUTENSILI</x:v>
      </x:c>
      <x:c r="G165" t="str">
        <x:f>'Catalogo Ferramenta'!G165</x:f>
        <x:v>UTENSILI PER TAGLIARE</x:v>
      </x:c>
      <x:c r="H165" s="12" t="n">
        <x:f>IF('Catalogo Ferramenta'!H165="",0,'Catalogo Ferramenta'!H165)</x:f>
        <x:v>73.7</x:v>
      </x:c>
      <x:c r="I165" s="12" t="n">
        <x:f>IF('Catalogo Ferramenta'!I165="",0,'Catalogo Ferramenta'!I165)</x:f>
        <x:v>89.9</x:v>
      </x:c>
      <x:c r="J165" s="14" t="n">
        <x:f>IF('Catalogo Ferramenta'!J165="",22,'Catalogo Ferramenta'!J165)</x:f>
        <x:v>22</x:v>
      </x:c>
      <x:c r="K165" s="14" t="n">
        <x:f>IF('Catalogo Ferramenta'!K165="",0,'Catalogo Ferramenta'!K165)</x:f>
        <x:v>0</x:v>
      </x:c>
      <x:c r="L165" s="14" t="n">
        <x:f>1</x:f>
        <x:v>1</x:v>
      </x:c>
      <x:c r="M165" t="n">
        <x:f>'Catalogo Ferramenta'!L165</x:f>
        <x:v>0</x:v>
      </x:c>
      <x:c r="N165" t="n">
        <x:f>'Catalogo Ferramenta'!M165</x:f>
        <x:v>0</x:v>
      </x:c>
      <x:c r="O165" t="str">
        <x:f>'Catalogo Ferramenta'!N165</x:f>
        <x:v>BLACK+DECKER</x:v>
      </x:c>
      <x:c r="P165" t="str">
        <x:f>'Catalogo Ferramenta'!P165</x:f>
        <x:v>Catalogo Black+Decker Lo Specialista 2026, pagina 31. Prezzi se presenti: raccomandati dal catalogo.</x:v>
      </x:c>
      <x:c r="Q165" s="14" t="n">
        <x:f>'Catalogo Ferramenta'!R165</x:f>
        <x:v>31</x:v>
      </x:c>
      <x:c r="R165" t="str">
        <x:f>'Catalogo Ferramenta'!S165</x:f>
        <x:v>B+D_CATALOGO Lo Specialista 2026.pdf</x:v>
      </x:c>
      <x:c r="S165" s="45" t="b">
        <x:f>AND(D165&lt;&gt;"",B165&lt;&gt;"")</x:f>
        <x:v>1</x:v>
      </x:c>
      <x:c r="T165" t="str">
        <x:f>TEXTJOIN("; ",TRUE,IF(D165="","manca nome",""),IF(B165="","manca barcode",""),IF(H165=0,"prezzo costo da compilare",""),IF(I165=0,"prezzo vendita da compilare",""),IF(K165=0,"quantità da compilare",""))</x:f>
        <x:v>quantità da compilare</x:v>
      </x:c>
    </x:row>
    <x:row r="166">
      <x:c r="A166" t="str">
        <x:f>'Catalogo Ferramenta'!A166</x:f>
        <x:v>BD-0165</x:v>
      </x:c>
      <x:c r="B166" t="str">
        <x:f>'Catalogo Ferramenta'!B166</x:f>
        <x:v>5035048790496</x:v>
      </x:c>
      <x:c r="C166" t="str">
        <x:f>'Catalogo Ferramenta'!C166</x:f>
        <x:v>BES701-QS</x:v>
      </x:c>
      <x:c r="D166" t="str">
        <x:f>'Catalogo Ferramenta'!D166</x:f>
        <x:v>Troncatrice radiale 1500W</x:v>
      </x:c>
      <x:c r="E166" t="str">
        <x:f>'Catalogo Ferramenta'!E166</x:f>
        <x:v>BLACK+DECKER</x:v>
      </x:c>
      <x:c r="F166" t="str">
        <x:f>'Catalogo Ferramenta'!F166</x:f>
        <x:v>ELETTROUTENSILI</x:v>
      </x:c>
      <x:c r="G166" t="str">
        <x:f>'Catalogo Ferramenta'!G166</x:f>
        <x:v>UTENSILI PER TAGLIARE</x:v>
      </x:c>
      <x:c r="H166" s="12" t="n">
        <x:f>IF('Catalogo Ferramenta'!H166="",0,'Catalogo Ferramenta'!H166)</x:f>
        <x:v>163.5</x:v>
      </x:c>
      <x:c r="I166" s="12" t="n">
        <x:f>IF('Catalogo Ferramenta'!I166="",0,'Catalogo Ferramenta'!I166)</x:f>
        <x:v>199.5</x:v>
      </x:c>
      <x:c r="J166" s="14" t="n">
        <x:f>IF('Catalogo Ferramenta'!J166="",22,'Catalogo Ferramenta'!J166)</x:f>
        <x:v>22</x:v>
      </x:c>
      <x:c r="K166" s="14" t="n">
        <x:f>IF('Catalogo Ferramenta'!K166="",0,'Catalogo Ferramenta'!K166)</x:f>
        <x:v>0</x:v>
      </x:c>
      <x:c r="L166" s="14" t="n">
        <x:f>1</x:f>
        <x:v>1</x:v>
      </x:c>
      <x:c r="M166" t="n">
        <x:f>'Catalogo Ferramenta'!L166</x:f>
        <x:v>0</x:v>
      </x:c>
      <x:c r="N166" t="n">
        <x:f>'Catalogo Ferramenta'!M166</x:f>
        <x:v>0</x:v>
      </x:c>
      <x:c r="O166" t="str">
        <x:f>'Catalogo Ferramenta'!N166</x:f>
        <x:v>BLACK+DECKER</x:v>
      </x:c>
      <x:c r="P166" t="str">
        <x:f>'Catalogo Ferramenta'!P166</x:f>
        <x:v>Catalogo Black+Decker Lo Specialista 2026, pagina 39. Prezzi se presenti: raccomandati dal catalogo.</x:v>
      </x:c>
      <x:c r="Q166" s="14" t="n">
        <x:f>'Catalogo Ferramenta'!R166</x:f>
        <x:v>39</x:v>
      </x:c>
      <x:c r="R166" t="str">
        <x:f>'Catalogo Ferramenta'!S166</x:f>
        <x:v>B+D_CATALOGO Lo Specialista 2026.pdf</x:v>
      </x:c>
      <x:c r="S166" s="45" t="b">
        <x:f>AND(D166&lt;&gt;"",B166&lt;&gt;"")</x:f>
        <x:v>1</x:v>
      </x:c>
      <x:c r="T166" t="str">
        <x:f>TEXTJOIN("; ",TRUE,IF(D166="","manca nome",""),IF(B166="","manca barcode",""),IF(H166=0,"prezzo costo da compilare",""),IF(I166=0,"prezzo vendita da compilare",""),IF(K166=0,"quantità da compilare",""))</x:f>
        <x:v>quantità da compilare</x:v>
      </x:c>
    </x:row>
    <x:row r="167">
      <x:c r="A167" t="str">
        <x:f>'Catalogo Ferramenta'!A167</x:f>
        <x:v>BD-0166</x:v>
      </x:c>
      <x:c r="B167" t="str">
        <x:f>'Catalogo Ferramenta'!B167</x:f>
        <x:v>5035048796573</x:v>
      </x:c>
      <x:c r="C167" t="str">
        <x:f>'Catalogo Ferramenta'!C167</x:f>
        <x:v>BES702-QS</x:v>
      </x:c>
      <x:c r="D167" t="str">
        <x:f>'Catalogo Ferramenta'!D167</x:f>
        <x:v>Troncatrice radiale 1500W</x:v>
      </x:c>
      <x:c r="E167" t="str">
        <x:f>'Catalogo Ferramenta'!E167</x:f>
        <x:v>BLACK+DECKER</x:v>
      </x:c>
      <x:c r="F167" t="str">
        <x:f>'Catalogo Ferramenta'!F167</x:f>
        <x:v>ELETTROUTENSILI</x:v>
      </x:c>
      <x:c r="G167" t="str">
        <x:f>'Catalogo Ferramenta'!G167</x:f>
        <x:v>UTENSILI PER TAGLIARE</x:v>
      </x:c>
      <x:c r="H167" s="12" t="n">
        <x:f>IF('Catalogo Ferramenta'!H167="",0,'Catalogo Ferramenta'!H167)</x:f>
        <x:v>0</x:v>
      </x:c>
      <x:c r="I167" s="12" t="n">
        <x:f>IF('Catalogo Ferramenta'!I167="",0,'Catalogo Ferramenta'!I167)</x:f>
        <x:v>0</x:v>
      </x:c>
      <x:c r="J167" s="14" t="n">
        <x:f>IF('Catalogo Ferramenta'!J167="",22,'Catalogo Ferramenta'!J167)</x:f>
        <x:v>22</x:v>
      </x:c>
      <x:c r="K167" s="14" t="n">
        <x:f>IF('Catalogo Ferramenta'!K167="",0,'Catalogo Ferramenta'!K167)</x:f>
        <x:v>0</x:v>
      </x:c>
      <x:c r="L167" s="14" t="n">
        <x:f>1</x:f>
        <x:v>1</x:v>
      </x:c>
      <x:c r="M167" t="n">
        <x:f>'Catalogo Ferramenta'!L167</x:f>
        <x:v>0</x:v>
      </x:c>
      <x:c r="N167" t="n">
        <x:f>'Catalogo Ferramenta'!M167</x:f>
        <x:v>0</x:v>
      </x:c>
      <x:c r="O167" t="str">
        <x:f>'Catalogo Ferramenta'!N167</x:f>
        <x:v>BLACK+DECKER</x:v>
      </x:c>
      <x:c r="P167" t="str">
        <x:f>'Catalogo Ferramenta'!P167</x:f>
        <x:v>Catalogo Black+Decker Lo Specialista 2026, pagina 38. Prezzi se presenti: raccomandati dal catalogo.</x:v>
      </x:c>
      <x:c r="Q167" s="14" t="n">
        <x:f>'Catalogo Ferramenta'!R167</x:f>
        <x:v>38</x:v>
      </x:c>
      <x:c r="R167" t="str">
        <x:f>'Catalogo Ferramenta'!S167</x:f>
        <x:v>B+D_CATALOGO Lo Specialista 2026.pdf</x:v>
      </x:c>
      <x:c r="S167" s="45" t="b">
        <x:f>AND(D167&lt;&gt;"",B167&lt;&gt;"")</x:f>
        <x:v>1</x:v>
      </x:c>
      <x:c r="T167" t="str">
        <x:f>TEXTJOIN("; ",TRUE,IF(D167="","manca nome",""),IF(B167="","manca barcode",""),IF(H167=0,"prezzo costo da compilare",""),IF(I167=0,"prezzo vendita da compilare",""),IF(K167=0,"quantità da compilare",""))</x:f>
        <x:v>prezzo costo da compilare; prezzo vendita da compilare; quantità da compilare</x:v>
      </x:c>
    </x:row>
    <x:row r="168">
      <x:c r="A168" t="str">
        <x:f>'Catalogo Ferramenta'!A168</x:f>
        <x:v>BD-0167</x:v>
      </x:c>
      <x:c r="B168" t="str">
        <x:f>'Catalogo Ferramenta'!B168</x:f>
        <x:v>5035048712399</x:v>
      </x:c>
      <x:c r="C168" t="str">
        <x:f>'Catalogo Ferramenta'!C168</x:f>
        <x:v>BES710-QS</x:v>
      </x:c>
      <x:c r="D168" t="str">
        <x:f>'Catalogo Ferramenta'!D168</x:f>
        <x:v>Troncatrice radiale 2100W</x:v>
      </x:c>
      <x:c r="E168" t="str">
        <x:f>'Catalogo Ferramenta'!E168</x:f>
        <x:v>BLACK+DECKER</x:v>
      </x:c>
      <x:c r="F168" t="str">
        <x:f>'Catalogo Ferramenta'!F168</x:f>
        <x:v>ELETTROUTENSILI</x:v>
      </x:c>
      <x:c r="G168" t="str">
        <x:f>'Catalogo Ferramenta'!G168</x:f>
        <x:v>UTENSILI PER TAGLIARE</x:v>
      </x:c>
      <x:c r="H168" s="12" t="n">
        <x:f>IF('Catalogo Ferramenta'!H168="",0,'Catalogo Ferramenta'!H168)</x:f>
        <x:v>229.5</x:v>
      </x:c>
      <x:c r="I168" s="12" t="n">
        <x:f>IF('Catalogo Ferramenta'!I168="",0,'Catalogo Ferramenta'!I168)</x:f>
        <x:v>280</x:v>
      </x:c>
      <x:c r="J168" s="14" t="n">
        <x:f>IF('Catalogo Ferramenta'!J168="",22,'Catalogo Ferramenta'!J168)</x:f>
        <x:v>22</x:v>
      </x:c>
      <x:c r="K168" s="14" t="n">
        <x:f>IF('Catalogo Ferramenta'!K168="",0,'Catalogo Ferramenta'!K168)</x:f>
        <x:v>0</x:v>
      </x:c>
      <x:c r="L168" s="14" t="n">
        <x:f>1</x:f>
        <x:v>1</x:v>
      </x:c>
      <x:c r="M168" t="n">
        <x:f>'Catalogo Ferramenta'!L168</x:f>
        <x:v>0</x:v>
      </x:c>
      <x:c r="N168" t="n">
        <x:f>'Catalogo Ferramenta'!M168</x:f>
        <x:v>0</x:v>
      </x:c>
      <x:c r="O168" t="str">
        <x:f>'Catalogo Ferramenta'!N168</x:f>
        <x:v>BLACK+DECKER</x:v>
      </x:c>
      <x:c r="P168" t="str">
        <x:f>'Catalogo Ferramenta'!P168</x:f>
        <x:v>Catalogo Black+Decker Lo Specialista 2026, pagina 39. Prezzi se presenti: raccomandati dal catalogo.</x:v>
      </x:c>
      <x:c r="Q168" s="14" t="n">
        <x:f>'Catalogo Ferramenta'!R168</x:f>
        <x:v>39</x:v>
      </x:c>
      <x:c r="R168" t="str">
        <x:f>'Catalogo Ferramenta'!S168</x:f>
        <x:v>B+D_CATALOGO Lo Specialista 2026.pdf</x:v>
      </x:c>
      <x:c r="S168" s="45" t="b">
        <x:f>AND(D168&lt;&gt;"",B168&lt;&gt;"")</x:f>
        <x:v>1</x:v>
      </x:c>
      <x:c r="T168" t="str">
        <x:f>TEXTJOIN("; ",TRUE,IF(D168="","manca nome",""),IF(B168="","manca barcode",""),IF(H168=0,"prezzo costo da compilare",""),IF(I168=0,"prezzo vendita da compilare",""),IF(K168=0,"quantità da compilare",""))</x:f>
        <x:v>quantità da compilare</x:v>
      </x:c>
    </x:row>
    <x:row r="169">
      <x:c r="A169" t="str">
        <x:f>'Catalogo Ferramenta'!A169</x:f>
        <x:v>BD-0168</x:v>
      </x:c>
      <x:c r="B169" t="str">
        <x:f>'Catalogo Ferramenta'!B169</x:f>
        <x:v>5035048712412</x:v>
      </x:c>
      <x:c r="C169" t="str">
        <x:f>'Catalogo Ferramenta'!C169</x:f>
        <x:v>BES720-QS</x:v>
      </x:c>
      <x:c r="D169" t="str">
        <x:f>'Catalogo Ferramenta'!D169</x:f>
        <x:v>Sega da banco 1800W</x:v>
      </x:c>
      <x:c r="E169" t="str">
        <x:f>'Catalogo Ferramenta'!E169</x:f>
        <x:v>BLACK+DECKER</x:v>
      </x:c>
      <x:c r="F169" t="str">
        <x:f>'Catalogo Ferramenta'!F169</x:f>
        <x:v>ELETTROUTENSILI</x:v>
      </x:c>
      <x:c r="G169" t="str">
        <x:f>'Catalogo Ferramenta'!G169</x:f>
        <x:v>UTENSILI PER TAGLIARE</x:v>
      </x:c>
      <x:c r="H169" s="12" t="n">
        <x:f>IF('Catalogo Ferramenta'!H169="",0,'Catalogo Ferramenta'!H169)</x:f>
        <x:v>188.5</x:v>
      </x:c>
      <x:c r="I169" s="12" t="n">
        <x:f>IF('Catalogo Ferramenta'!I169="",0,'Catalogo Ferramenta'!I169)</x:f>
        <x:v>230</x:v>
      </x:c>
      <x:c r="J169" s="14" t="n">
        <x:f>IF('Catalogo Ferramenta'!J169="",22,'Catalogo Ferramenta'!J169)</x:f>
        <x:v>22</x:v>
      </x:c>
      <x:c r="K169" s="14" t="n">
        <x:f>IF('Catalogo Ferramenta'!K169="",0,'Catalogo Ferramenta'!K169)</x:f>
        <x:v>0</x:v>
      </x:c>
      <x:c r="L169" s="14" t="n">
        <x:f>1</x:f>
        <x:v>1</x:v>
      </x:c>
      <x:c r="M169" t="n">
        <x:f>'Catalogo Ferramenta'!L169</x:f>
        <x:v>0</x:v>
      </x:c>
      <x:c r="N169" t="n">
        <x:f>'Catalogo Ferramenta'!M169</x:f>
        <x:v>0</x:v>
      </x:c>
      <x:c r="O169" t="str">
        <x:f>'Catalogo Ferramenta'!N169</x:f>
        <x:v>BLACK+DECKER</x:v>
      </x:c>
      <x:c r="P169" t="str">
        <x:f>'Catalogo Ferramenta'!P169</x:f>
        <x:v>Catalogo Black+Decker Lo Specialista 2026, pagina 40. Prezzi se presenti: raccomandati dal catalogo.</x:v>
      </x:c>
      <x:c r="Q169" s="14" t="n">
        <x:f>'Catalogo Ferramenta'!R169</x:f>
        <x:v>40</x:v>
      </x:c>
      <x:c r="R169" t="str">
        <x:f>'Catalogo Ferramenta'!S169</x:f>
        <x:v>B+D_CATALOGO Lo Specialista 2026.pdf</x:v>
      </x:c>
      <x:c r="S169" s="45" t="b">
        <x:f>AND(D169&lt;&gt;"",B169&lt;&gt;"")</x:f>
        <x:v>1</x:v>
      </x:c>
      <x:c r="T169" t="str">
        <x:f>TEXTJOIN("; ",TRUE,IF(D169="","manca nome",""),IF(B169="","manca barcode",""),IF(H169=0,"prezzo costo da compilare",""),IF(I169=0,"prezzo vendita da compilare",""),IF(K169=0,"quantità da compilare",""))</x:f>
        <x:v>quantità da compilare</x:v>
      </x:c>
    </x:row>
    <x:row r="170">
      <x:c r="A170" t="str">
        <x:f>'Catalogo Ferramenta'!A170</x:f>
        <x:v>BD-0169</x:v>
      </x:c>
      <x:c r="B170" t="str">
        <x:f>'Catalogo Ferramenta'!B170</x:f>
        <x:v>5035048680940</x:v>
      </x:c>
      <x:c r="C170" t="str">
        <x:f>'Catalogo Ferramenta'!C170</x:f>
        <x:v>BESTA525-QS</x:v>
      </x:c>
      <x:c r="D170" t="str">
        <x:f>'Catalogo Ferramenta'!D170</x:f>
        <x:v>Tagliabordi a filo 450W</x:v>
      </x:c>
      <x:c r="E170" t="str">
        <x:f>'Catalogo Ferramenta'!E170</x:f>
        <x:v>BLACK+DECKER</x:v>
      </x:c>
      <x:c r="F170" t="str">
        <x:f>'Catalogo Ferramenta'!F170</x:f>
        <x:v>GAMMA GIARDINO</x:v>
      </x:c>
      <x:c r="G170" t="str">
        <x:f>'Catalogo Ferramenta'!G170</x:f>
        <x:v>TAGLIABORDI</x:v>
      </x:c>
      <x:c r="H170" s="12" t="n">
        <x:f>IF('Catalogo Ferramenta'!H170="",0,'Catalogo Ferramenta'!H170)</x:f>
        <x:v>0</x:v>
      </x:c>
      <x:c r="I170" s="12" t="n">
        <x:f>IF('Catalogo Ferramenta'!I170="",0,'Catalogo Ferramenta'!I170)</x:f>
        <x:v>0</x:v>
      </x:c>
      <x:c r="J170" s="14" t="n">
        <x:f>IF('Catalogo Ferramenta'!J170="",22,'Catalogo Ferramenta'!J170)</x:f>
        <x:v>22</x:v>
      </x:c>
      <x:c r="K170" s="14" t="n">
        <x:f>IF('Catalogo Ferramenta'!K170="",0,'Catalogo Ferramenta'!K170)</x:f>
        <x:v>0</x:v>
      </x:c>
      <x:c r="L170" s="14" t="n">
        <x:f>1</x:f>
        <x:v>1</x:v>
      </x:c>
      <x:c r="M170" t="n">
        <x:f>'Catalogo Ferramenta'!L170</x:f>
        <x:v>0</x:v>
      </x:c>
      <x:c r="N170" t="n">
        <x:f>'Catalogo Ferramenta'!M170</x:f>
        <x:v>0</x:v>
      </x:c>
      <x:c r="O170" t="str">
        <x:f>'Catalogo Ferramenta'!N170</x:f>
        <x:v>BLACK+DECKER</x:v>
      </x:c>
      <x:c r="P170" t="str">
        <x:f>'Catalogo Ferramenta'!P170</x:f>
        <x:v>Catalogo Black+Decker Lo Specialista 2026, pagina 92. Prezzi se presenti: raccomandati dal catalogo.</x:v>
      </x:c>
      <x:c r="Q170" s="14" t="n">
        <x:f>'Catalogo Ferramenta'!R170</x:f>
        <x:v>92</x:v>
      </x:c>
      <x:c r="R170" t="str">
        <x:f>'Catalogo Ferramenta'!S170</x:f>
        <x:v>B+D_CATALOGO Lo Specialista 2026.pdf</x:v>
      </x:c>
      <x:c r="S170" s="45" t="b">
        <x:f>AND(D170&lt;&gt;"",B170&lt;&gt;"")</x:f>
        <x:v>1</x:v>
      </x:c>
      <x:c r="T170" t="str">
        <x:f>TEXTJOIN("; ",TRUE,IF(D170="","manca nome",""),IF(B170="","manca barcode",""),IF(H170=0,"prezzo costo da compilare",""),IF(I170=0,"prezzo vendita da compilare",""),IF(K170=0,"quantità da compilare",""))</x:f>
        <x:v>prezzo costo da compilare; prezzo vendita da compilare; quantità da compilare</x:v>
      </x:c>
    </x:row>
    <x:row r="171">
      <x:c r="A171" t="str">
        <x:f>'Catalogo Ferramenta'!A171</x:f>
        <x:v>BD-0170</x:v>
      </x:c>
      <x:c r="B171" t="str">
        <x:f>'Catalogo Ferramenta'!B171</x:f>
        <x:v>5035048681060</x:v>
      </x:c>
      <x:c r="C171" t="str">
        <x:f>'Catalogo Ferramenta'!C171</x:f>
        <x:v>BESTA530-QS</x:v>
      </x:c>
      <x:c r="D171" t="str">
        <x:f>'Catalogo Ferramenta'!D171</x:f>
        <x:v>Tagliabordi a filo 550W</x:v>
      </x:c>
      <x:c r="E171" t="str">
        <x:f>'Catalogo Ferramenta'!E171</x:f>
        <x:v>BLACK+DECKER</x:v>
      </x:c>
      <x:c r="F171" t="str">
        <x:f>'Catalogo Ferramenta'!F171</x:f>
        <x:v>GAMMA GIARDINO</x:v>
      </x:c>
      <x:c r="G171" t="str">
        <x:f>'Catalogo Ferramenta'!G171</x:f>
        <x:v>TAGLIABORDI</x:v>
      </x:c>
      <x:c r="H171" s="12" t="n">
        <x:f>IF('Catalogo Ferramenta'!H171="",0,'Catalogo Ferramenta'!H171)</x:f>
        <x:v>0</x:v>
      </x:c>
      <x:c r="I171" s="12" t="n">
        <x:f>IF('Catalogo Ferramenta'!I171="",0,'Catalogo Ferramenta'!I171)</x:f>
        <x:v>0</x:v>
      </x:c>
      <x:c r="J171" s="14" t="n">
        <x:f>IF('Catalogo Ferramenta'!J171="",22,'Catalogo Ferramenta'!J171)</x:f>
        <x:v>22</x:v>
      </x:c>
      <x:c r="K171" s="14" t="n">
        <x:f>IF('Catalogo Ferramenta'!K171="",0,'Catalogo Ferramenta'!K171)</x:f>
        <x:v>0</x:v>
      </x:c>
      <x:c r="L171" s="14" t="n">
        <x:f>1</x:f>
        <x:v>1</x:v>
      </x:c>
      <x:c r="M171" t="n">
        <x:f>'Catalogo Ferramenta'!L171</x:f>
        <x:v>0</x:v>
      </x:c>
      <x:c r="N171" t="n">
        <x:f>'Catalogo Ferramenta'!M171</x:f>
        <x:v>0</x:v>
      </x:c>
      <x:c r="O171" t="str">
        <x:f>'Catalogo Ferramenta'!N171</x:f>
        <x:v>BLACK+DECKER</x:v>
      </x:c>
      <x:c r="P171" t="str">
        <x:f>'Catalogo Ferramenta'!P171</x:f>
        <x:v>Catalogo Black+Decker Lo Specialista 2026, pagina 92. Prezzi se presenti: raccomandati dal catalogo.</x:v>
      </x:c>
      <x:c r="Q171" s="14" t="n">
        <x:f>'Catalogo Ferramenta'!R171</x:f>
        <x:v>92</x:v>
      </x:c>
      <x:c r="R171" t="str">
        <x:f>'Catalogo Ferramenta'!S171</x:f>
        <x:v>B+D_CATALOGO Lo Specialista 2026.pdf</x:v>
      </x:c>
      <x:c r="S171" s="45" t="b">
        <x:f>AND(D171&lt;&gt;"",B171&lt;&gt;"")</x:f>
        <x:v>1</x:v>
      </x:c>
      <x:c r="T171" t="str">
        <x:f>TEXTJOIN("; ",TRUE,IF(D171="","manca nome",""),IF(B171="","manca barcode",""),IF(H171=0,"prezzo costo da compilare",""),IF(I171=0,"prezzo vendita da compilare",""),IF(K171=0,"quantità da compilare",""))</x:f>
        <x:v>prezzo costo da compilare; prezzo vendita da compilare; quantità da compilare</x:v>
      </x:c>
    </x:row>
    <x:row r="172">
      <x:c r="A172" t="str">
        <x:f>'Catalogo Ferramenta'!A172</x:f>
        <x:v>BD-0171</x:v>
      </x:c>
      <x:c r="B172" t="str">
        <x:f>'Catalogo Ferramenta'!B172</x:f>
        <x:v>5035048795583</x:v>
      </x:c>
      <x:c r="C172" t="str">
        <x:f>'Catalogo Ferramenta'!C172</x:f>
        <x:v>BETL1820L-QW</x:v>
      </x:c>
      <x:c r="D172" t="str">
        <x:f>'Catalogo Ferramenta'!D172</x:f>
        <x:v>Elettrozappa a batteria 18V</x:v>
      </x:c>
      <x:c r="E172" t="str">
        <x:f>'Catalogo Ferramenta'!E172</x:f>
        <x:v>BLACK+DECKER</x:v>
      </x:c>
      <x:c r="F172" t="str">
        <x:f>'Catalogo Ferramenta'!F172</x:f>
        <x:v>GAMMA GIARDINO</x:v>
      </x:c>
      <x:c r="G172" t="str">
        <x:f>'Catalogo Ferramenta'!G172</x:f>
        <x:v>ALTRI UTENSILI DA GIARDINO</x:v>
      </x:c>
      <x:c r="H172" s="12" t="n">
        <x:f>IF('Catalogo Ferramenta'!H172="",0,'Catalogo Ferramenta'!H172)</x:f>
        <x:v>180.3</x:v>
      </x:c>
      <x:c r="I172" s="12" t="n">
        <x:f>IF('Catalogo Ferramenta'!I172="",0,'Catalogo Ferramenta'!I172)</x:f>
        <x:v>220</x:v>
      </x:c>
      <x:c r="J172" s="14" t="n">
        <x:f>IF('Catalogo Ferramenta'!J172="",22,'Catalogo Ferramenta'!J172)</x:f>
        <x:v>22</x:v>
      </x:c>
      <x:c r="K172" s="14" t="n">
        <x:f>IF('Catalogo Ferramenta'!K172="",0,'Catalogo Ferramenta'!K172)</x:f>
        <x:v>0</x:v>
      </x:c>
      <x:c r="L172" s="14" t="n">
        <x:f>1</x:f>
        <x:v>1</x:v>
      </x:c>
      <x:c r="M172" t="n">
        <x:f>'Catalogo Ferramenta'!L172</x:f>
        <x:v>0</x:v>
      </x:c>
      <x:c r="N172" t="n">
        <x:f>'Catalogo Ferramenta'!M172</x:f>
        <x:v>0</x:v>
      </x:c>
      <x:c r="O172" t="str">
        <x:f>'Catalogo Ferramenta'!N172</x:f>
        <x:v>BLACK+DECKER</x:v>
      </x:c>
      <x:c r="P172" t="str">
        <x:f>'Catalogo Ferramenta'!P172</x:f>
        <x:v>Catalogo Black+Decker Lo Specialista 2026, pagina 119. Prezzi se presenti: raccomandati dal catalogo.</x:v>
      </x:c>
      <x:c r="Q172" s="14" t="n">
        <x:f>'Catalogo Ferramenta'!R172</x:f>
        <x:v>119</x:v>
      </x:c>
      <x:c r="R172" t="str">
        <x:f>'Catalogo Ferramenta'!S172</x:f>
        <x:v>B+D_CATALOGO Lo Specialista 2026.pdf</x:v>
      </x:c>
      <x:c r="S172" s="45" t="b">
        <x:f>AND(D172&lt;&gt;"",B172&lt;&gt;"")</x:f>
        <x:v>1</x:v>
      </x:c>
      <x:c r="T172" t="str">
        <x:f>TEXTJOIN("; ",TRUE,IF(D172="","manca nome",""),IF(B172="","manca barcode",""),IF(H172=0,"prezzo costo da compilare",""),IF(I172=0,"prezzo vendita da compilare",""),IF(K172=0,"quantità da compilare",""))</x:f>
        <x:v>quantità da compilare</x:v>
      </x:c>
    </x:row>
    <x:row r="173">
      <x:c r="A173" t="str">
        <x:f>'Catalogo Ferramenta'!A173</x:f>
        <x:v>BD-0172</x:v>
      </x:c>
      <x:c r="B173" t="str">
        <x:f>'Catalogo Ferramenta'!B173</x:f>
        <x:v>5035048795545</x:v>
      </x:c>
      <x:c r="C173" t="str">
        <x:f>'Catalogo Ferramenta'!C173</x:f>
        <x:v>BETL18B-XJ</x:v>
      </x:c>
      <x:c r="D173" t="str">
        <x:f>'Catalogo Ferramenta'!D173</x:f>
        <x:v>Elettrozappa a batteria (solo corpo macchina)</x:v>
      </x:c>
      <x:c r="E173" t="str">
        <x:f>'Catalogo Ferramenta'!E173</x:f>
        <x:v>BLACK+DECKER</x:v>
      </x:c>
      <x:c r="F173" t="str">
        <x:f>'Catalogo Ferramenta'!F173</x:f>
        <x:v>GAMMA GIARDINO</x:v>
      </x:c>
      <x:c r="G173" t="str">
        <x:f>'Catalogo Ferramenta'!G173</x:f>
        <x:v>ALTRI UTENSILI DA GIARDINO</x:v>
      </x:c>
      <x:c r="H173" s="12" t="n">
        <x:f>IF('Catalogo Ferramenta'!H173="",0,'Catalogo Ferramenta'!H173)</x:f>
        <x:v>147.5</x:v>
      </x:c>
      <x:c r="I173" s="12" t="n">
        <x:f>IF('Catalogo Ferramenta'!I173="",0,'Catalogo Ferramenta'!I173)</x:f>
        <x:v>180</x:v>
      </x:c>
      <x:c r="J173" s="14" t="n">
        <x:f>IF('Catalogo Ferramenta'!J173="",22,'Catalogo Ferramenta'!J173)</x:f>
        <x:v>22</x:v>
      </x:c>
      <x:c r="K173" s="14" t="n">
        <x:f>IF('Catalogo Ferramenta'!K173="",0,'Catalogo Ferramenta'!K173)</x:f>
        <x:v>0</x:v>
      </x:c>
      <x:c r="L173" s="14" t="n">
        <x:f>1</x:f>
        <x:v>1</x:v>
      </x:c>
      <x:c r="M173" t="n">
        <x:f>'Catalogo Ferramenta'!L173</x:f>
        <x:v>0</x:v>
      </x:c>
      <x:c r="N173" t="n">
        <x:f>'Catalogo Ferramenta'!M173</x:f>
        <x:v>0</x:v>
      </x:c>
      <x:c r="O173" t="str">
        <x:f>'Catalogo Ferramenta'!N173</x:f>
        <x:v>BLACK+DECKER</x:v>
      </x:c>
      <x:c r="P173" t="str">
        <x:f>'Catalogo Ferramenta'!P173</x:f>
        <x:v>Catalogo Black+Decker Lo Specialista 2026, pagina 119. Prezzi se presenti: raccomandati dal catalogo.</x:v>
      </x:c>
      <x:c r="Q173" s="14" t="n">
        <x:f>'Catalogo Ferramenta'!R173</x:f>
        <x:v>119</x:v>
      </x:c>
      <x:c r="R173" t="str">
        <x:f>'Catalogo Ferramenta'!S173</x:f>
        <x:v>B+D_CATALOGO Lo Specialista 2026.pdf</x:v>
      </x:c>
      <x:c r="S173" s="45" t="b">
        <x:f>AND(D173&lt;&gt;"",B173&lt;&gt;"")</x:f>
        <x:v>1</x:v>
      </x:c>
      <x:c r="T173" t="str">
        <x:f>TEXTJOIN("; ",TRUE,IF(D173="","manca nome",""),IF(B173="","manca barcode",""),IF(H173=0,"prezzo costo da compilare",""),IF(I173=0,"prezzo vendita da compilare",""),IF(K173=0,"quantità da compilare",""))</x:f>
        <x:v>quantità da compilare</x:v>
      </x:c>
    </x:row>
    <x:row r="174">
      <x:c r="A174" t="str">
        <x:f>'Catalogo Ferramenta'!A174</x:f>
        <x:v>BD-0173</x:v>
      </x:c>
      <x:c r="B174" t="str">
        <x:f>'Catalogo Ferramenta'!B174</x:f>
        <x:v>5035048704165</x:v>
      </x:c>
      <x:c r="C174" t="str">
        <x:f>'Catalogo Ferramenta'!C174</x:f>
        <x:v>BEW200-QS</x:v>
      </x:c>
      <x:c r="D174" t="str">
        <x:f>'Catalogo Ferramenta'!D174</x:f>
        <x:v>Multilevigatrice 4-in-1</x:v>
      </x:c>
      <x:c r="E174" t="str">
        <x:f>'Catalogo Ferramenta'!E174</x:f>
        <x:v>BLACK+DECKER</x:v>
      </x:c>
      <x:c r="F174" t="str">
        <x:f>'Catalogo Ferramenta'!F174</x:f>
        <x:v>ELETTROUTENSILI</x:v>
      </x:c>
      <x:c r="G174" t="str">
        <x:f>'Catalogo Ferramenta'!G174</x:f>
        <x:v>LEVIGATRICI</x:v>
      </x:c>
      <x:c r="H174" s="12" t="n">
        <x:f>IF('Catalogo Ferramenta'!H174="",0,'Catalogo Ferramenta'!H174)</x:f>
        <x:v>49.1</x:v>
      </x:c>
      <x:c r="I174" s="12" t="n">
        <x:f>IF('Catalogo Ferramenta'!I174="",0,'Catalogo Ferramenta'!I174)</x:f>
        <x:v>59.9</x:v>
      </x:c>
      <x:c r="J174" s="14" t="n">
        <x:f>IF('Catalogo Ferramenta'!J174="",22,'Catalogo Ferramenta'!J174)</x:f>
        <x:v>22</x:v>
      </x:c>
      <x:c r="K174" s="14" t="n">
        <x:f>IF('Catalogo Ferramenta'!K174="",0,'Catalogo Ferramenta'!K174)</x:f>
        <x:v>0</x:v>
      </x:c>
      <x:c r="L174" s="14" t="n">
        <x:f>1</x:f>
        <x:v>1</x:v>
      </x:c>
      <x:c r="M174" t="n">
        <x:f>'Catalogo Ferramenta'!L174</x:f>
        <x:v>0</x:v>
      </x:c>
      <x:c r="N174" t="n">
        <x:f>'Catalogo Ferramenta'!M174</x:f>
        <x:v>0</x:v>
      </x:c>
      <x:c r="O174" t="str">
        <x:f>'Catalogo Ferramenta'!N174</x:f>
        <x:v>BLACK+DECKER</x:v>
      </x:c>
      <x:c r="P174" t="str">
        <x:f>'Catalogo Ferramenta'!P174</x:f>
        <x:v>Catalogo Black+Decker Lo Specialista 2026, pagina 43. Prezzi se presenti: raccomandati dal catalogo.</x:v>
      </x:c>
      <x:c r="Q174" s="14" t="n">
        <x:f>'Catalogo Ferramenta'!R174</x:f>
        <x:v>43</x:v>
      </x:c>
      <x:c r="R174" t="str">
        <x:f>'Catalogo Ferramenta'!S174</x:f>
        <x:v>B+D_CATALOGO Lo Specialista 2026.pdf</x:v>
      </x:c>
      <x:c r="S174" s="45" t="b">
        <x:f>AND(D174&lt;&gt;"",B174&lt;&gt;"")</x:f>
        <x:v>1</x:v>
      </x:c>
      <x:c r="T174" t="str">
        <x:f>TEXTJOIN("; ",TRUE,IF(D174="","manca nome",""),IF(B174="","manca barcode",""),IF(H174=0,"prezzo costo da compilare",""),IF(I174=0,"prezzo vendita da compilare",""),IF(K174=0,"quantità da compilare",""))</x:f>
        <x:v>quantità da compilare</x:v>
      </x:c>
    </x:row>
    <x:row r="175">
      <x:c r="A175" t="str">
        <x:f>'Catalogo Ferramenta'!A175</x:f>
        <x:v>BD-0174</x:v>
      </x:c>
      <x:c r="B175" t="str">
        <x:f>'Catalogo Ferramenta'!B175</x:f>
        <x:v>5035048704233</x:v>
      </x:c>
      <x:c r="C175" t="str">
        <x:f>'Catalogo Ferramenta'!C175</x:f>
        <x:v>BEW210-QS</x:v>
      </x:c>
      <x:c r="D175" t="str">
        <x:f>'Catalogo Ferramenta'!D175</x:f>
        <x:v>Levigatrice rotorbitale a filo 230W</x:v>
      </x:c>
      <x:c r="E175" t="str">
        <x:f>'Catalogo Ferramenta'!E175</x:f>
        <x:v>BLACK+DECKER</x:v>
      </x:c>
      <x:c r="F175" t="str">
        <x:f>'Catalogo Ferramenta'!F175</x:f>
        <x:v>ELETTROUTENSILI</x:v>
      </x:c>
      <x:c r="G175" t="str">
        <x:f>'Catalogo Ferramenta'!G175</x:f>
        <x:v>LEVIGATRICI</x:v>
      </x:c>
      <x:c r="H175" s="12" t="n">
        <x:f>IF('Catalogo Ferramenta'!H175="",0,'Catalogo Ferramenta'!H175)</x:f>
        <x:v>32.8</x:v>
      </x:c>
      <x:c r="I175" s="12" t="n">
        <x:f>IF('Catalogo Ferramenta'!I175="",0,'Catalogo Ferramenta'!I175)</x:f>
        <x:v>40</x:v>
      </x:c>
      <x:c r="J175" s="14" t="n">
        <x:f>IF('Catalogo Ferramenta'!J175="",22,'Catalogo Ferramenta'!J175)</x:f>
        <x:v>22</x:v>
      </x:c>
      <x:c r="K175" s="14" t="n">
        <x:f>IF('Catalogo Ferramenta'!K175="",0,'Catalogo Ferramenta'!K175)</x:f>
        <x:v>0</x:v>
      </x:c>
      <x:c r="L175" s="14" t="n">
        <x:f>1</x:f>
        <x:v>1</x:v>
      </x:c>
      <x:c r="M175" t="n">
        <x:f>'Catalogo Ferramenta'!L175</x:f>
        <x:v>0</x:v>
      </x:c>
      <x:c r="N175" t="n">
        <x:f>'Catalogo Ferramenta'!M175</x:f>
        <x:v>0</x:v>
      </x:c>
      <x:c r="O175" t="str">
        <x:f>'Catalogo Ferramenta'!N175</x:f>
        <x:v>BLACK+DECKER</x:v>
      </x:c>
      <x:c r="P175" t="str">
        <x:f>'Catalogo Ferramenta'!P175</x:f>
        <x:v>Catalogo Black+Decker Lo Specialista 2026, pagina 45. Prezzi se presenti: raccomandati dal catalogo.</x:v>
      </x:c>
      <x:c r="Q175" s="14" t="n">
        <x:f>'Catalogo Ferramenta'!R175</x:f>
        <x:v>45</x:v>
      </x:c>
      <x:c r="R175" t="str">
        <x:f>'Catalogo Ferramenta'!S175</x:f>
        <x:v>B+D_CATALOGO Lo Specialista 2026.pdf</x:v>
      </x:c>
      <x:c r="S175" s="45" t="b">
        <x:f>AND(D175&lt;&gt;"",B175&lt;&gt;"")</x:f>
        <x:v>1</x:v>
      </x:c>
      <x:c r="T175" t="str">
        <x:f>TEXTJOIN("; ",TRUE,IF(D175="","manca nome",""),IF(B175="","manca barcode",""),IF(H175=0,"prezzo costo da compilare",""),IF(I175=0,"prezzo vendita da compilare",""),IF(K175=0,"quantità da compilare",""))</x:f>
        <x:v>quantità da compilare</x:v>
      </x:c>
    </x:row>
    <x:row r="176">
      <x:c r="A176" t="str">
        <x:f>'Catalogo Ferramenta'!A176</x:f>
        <x:v>BD-0175</x:v>
      </x:c>
      <x:c r="B176" t="str">
        <x:f>'Catalogo Ferramenta'!B176</x:f>
        <x:v>5035048704264</x:v>
      </x:c>
      <x:c r="C176" t="str">
        <x:f>'Catalogo Ferramenta'!C176</x:f>
        <x:v>BEW220-QS</x:v>
      </x:c>
      <x:c r="D176" t="str">
        <x:f>'Catalogo Ferramenta'!D176</x:f>
        <x:v>Levigatrice orbitale a filo 150W da 1/3 di foglio</x:v>
      </x:c>
      <x:c r="E176" t="str">
        <x:f>'Catalogo Ferramenta'!E176</x:f>
        <x:v>BLACK+DECKER</x:v>
      </x:c>
      <x:c r="F176" t="str">
        <x:f>'Catalogo Ferramenta'!F176</x:f>
        <x:v>ELETTROUTENSILI</x:v>
      </x:c>
      <x:c r="G176" t="str">
        <x:f>'Catalogo Ferramenta'!G176</x:f>
        <x:v>LEVIGATRICI</x:v>
      </x:c>
      <x:c r="H176" s="12" t="n">
        <x:f>IF('Catalogo Ferramenta'!H176="",0,'Catalogo Ferramenta'!H176)</x:f>
        <x:v>28.7</x:v>
      </x:c>
      <x:c r="I176" s="12" t="n">
        <x:f>IF('Catalogo Ferramenta'!I176="",0,'Catalogo Ferramenta'!I176)</x:f>
        <x:v>35</x:v>
      </x:c>
      <x:c r="J176" s="14" t="n">
        <x:f>IF('Catalogo Ferramenta'!J176="",22,'Catalogo Ferramenta'!J176)</x:f>
        <x:v>22</x:v>
      </x:c>
      <x:c r="K176" s="14" t="n">
        <x:f>IF('Catalogo Ferramenta'!K176="",0,'Catalogo Ferramenta'!K176)</x:f>
        <x:v>0</x:v>
      </x:c>
      <x:c r="L176" s="14" t="n">
        <x:f>1</x:f>
        <x:v>1</x:v>
      </x:c>
      <x:c r="M176" t="n">
        <x:f>'Catalogo Ferramenta'!L176</x:f>
        <x:v>0</x:v>
      </x:c>
      <x:c r="N176" t="n">
        <x:f>'Catalogo Ferramenta'!M176</x:f>
        <x:v>0</x:v>
      </x:c>
      <x:c r="O176" t="str">
        <x:f>'Catalogo Ferramenta'!N176</x:f>
        <x:v>BLACK+DECKER</x:v>
      </x:c>
      <x:c r="P176" t="str">
        <x:f>'Catalogo Ferramenta'!P176</x:f>
        <x:v>Catalogo Black+Decker Lo Specialista 2026, pagina 44. Prezzi se presenti: raccomandati dal catalogo.</x:v>
      </x:c>
      <x:c r="Q176" s="14" t="n">
        <x:f>'Catalogo Ferramenta'!R176</x:f>
        <x:v>44</x:v>
      </x:c>
      <x:c r="R176" t="str">
        <x:f>'Catalogo Ferramenta'!S176</x:f>
        <x:v>B+D_CATALOGO Lo Specialista 2026.pdf</x:v>
      </x:c>
      <x:c r="S176" s="45" t="b">
        <x:f>AND(D176&lt;&gt;"",B176&lt;&gt;"")</x:f>
        <x:v>1</x:v>
      </x:c>
      <x:c r="T176" t="str">
        <x:f>TEXTJOIN("; ",TRUE,IF(D176="","manca nome",""),IF(B176="","manca barcode",""),IF(H176=0,"prezzo costo da compilare",""),IF(I176=0,"prezzo vendita da compilare",""),IF(K176=0,"quantità da compilare",""))</x:f>
        <x:v>quantità da compilare</x:v>
      </x:c>
    </x:row>
    <x:row r="177">
      <x:c r="A177" t="str">
        <x:f>'Catalogo Ferramenta'!A177</x:f>
        <x:v>BD-0176</x:v>
      </x:c>
      <x:c r="B177" t="str">
        <x:f>'Catalogo Ferramenta'!B177</x:f>
        <x:v>5035048709375</x:v>
      </x:c>
      <x:c r="C177" t="str">
        <x:f>'Catalogo Ferramenta'!C177</x:f>
        <x:v>BEW230BC-QS</x:v>
      </x:c>
      <x:c r="D177" t="str">
        <x:f>'Catalogo Ferramenta'!D177</x:f>
        <x:v>Levigatrice Mouse® 55W</x:v>
      </x:c>
      <x:c r="E177" t="str">
        <x:f>'Catalogo Ferramenta'!E177</x:f>
        <x:v>BLACK+DECKER</x:v>
      </x:c>
      <x:c r="F177" t="str">
        <x:f>'Catalogo Ferramenta'!F177</x:f>
        <x:v>ELETTROUTENSILI</x:v>
      </x:c>
      <x:c r="G177" t="str">
        <x:f>'Catalogo Ferramenta'!G177</x:f>
        <x:v>LEVIGATRICI</x:v>
      </x:c>
      <x:c r="H177" s="12" t="n">
        <x:f>IF('Catalogo Ferramenta'!H177="",0,'Catalogo Ferramenta'!H177)</x:f>
        <x:v>26.5</x:v>
      </x:c>
      <x:c r="I177" s="12" t="n">
        <x:f>IF('Catalogo Ferramenta'!I177="",0,'Catalogo Ferramenta'!I177)</x:f>
        <x:v>32.3</x:v>
      </x:c>
      <x:c r="J177" s="14" t="n">
        <x:f>IF('Catalogo Ferramenta'!J177="",22,'Catalogo Ferramenta'!J177)</x:f>
        <x:v>22</x:v>
      </x:c>
      <x:c r="K177" s="14" t="n">
        <x:f>IF('Catalogo Ferramenta'!K177="",0,'Catalogo Ferramenta'!K177)</x:f>
        <x:v>0</x:v>
      </x:c>
      <x:c r="L177" s="14" t="n">
        <x:f>1</x:f>
        <x:v>1</x:v>
      </x:c>
      <x:c r="M177" t="n">
        <x:f>'Catalogo Ferramenta'!L177</x:f>
        <x:v>0</x:v>
      </x:c>
      <x:c r="N177" t="n">
        <x:f>'Catalogo Ferramenta'!M177</x:f>
        <x:v>0</x:v>
      </x:c>
      <x:c r="O177" t="str">
        <x:f>'Catalogo Ferramenta'!N177</x:f>
        <x:v>BLACK+DECKER</x:v>
      </x:c>
      <x:c r="P177" t="str">
        <x:f>'Catalogo Ferramenta'!P177</x:f>
        <x:v>Catalogo Black+Decker Lo Specialista 2026, pagina 42. Prezzi se presenti: raccomandati dal catalogo.</x:v>
      </x:c>
      <x:c r="Q177" s="14" t="n">
        <x:f>'Catalogo Ferramenta'!R177</x:f>
        <x:v>42</x:v>
      </x:c>
      <x:c r="R177" t="str">
        <x:f>'Catalogo Ferramenta'!S177</x:f>
        <x:v>B+D_CATALOGO Lo Specialista 2026.pdf</x:v>
      </x:c>
      <x:c r="S177" s="45" t="b">
        <x:f>AND(D177&lt;&gt;"",B177&lt;&gt;"")</x:f>
        <x:v>1</x:v>
      </x:c>
      <x:c r="T177" t="str">
        <x:f>TEXTJOIN("; ",TRUE,IF(D177="","manca nome",""),IF(B177="","manca barcode",""),IF(H177=0,"prezzo costo da compilare",""),IF(I177=0,"prezzo vendita da compilare",""),IF(K177=0,"quantità da compilare",""))</x:f>
        <x:v>quantità da compilare</x:v>
      </x:c>
    </x:row>
    <x:row r="178">
      <x:c r="A178" t="str">
        <x:f>'Catalogo Ferramenta'!A178</x:f>
        <x:v>BD-0177</x:v>
      </x:c>
      <x:c r="B178" t="str">
        <x:f>'Catalogo Ferramenta'!B178</x:f>
        <x:v>5035048810958</x:v>
      </x:c>
      <x:c r="C178" t="str">
        <x:f>'Catalogo Ferramenta'!C178</x:f>
        <x:v>BEW712-QS</x:v>
      </x:c>
      <x:c r="D178" t="str">
        <x:f>'Catalogo Ferramenta'!D178</x:f>
        <x:v>Pialletto a filo 710W</x:v>
      </x:c>
      <x:c r="E178" t="str">
        <x:f>'Catalogo Ferramenta'!E178</x:f>
        <x:v>BLACK+DECKER</x:v>
      </x:c>
      <x:c r="F178" t="str">
        <x:f>'Catalogo Ferramenta'!F178</x:f>
        <x:v>ELETTROUTENSILI</x:v>
      </x:c>
      <x:c r="G178" t="str">
        <x:f>'Catalogo Ferramenta'!G178</x:f>
        <x:v>PIALLETTI, ELETTROFRESATRICI ED ALTRI UTENSILI</x:v>
      </x:c>
      <x:c r="H178" s="12" t="n">
        <x:f>IF('Catalogo Ferramenta'!H178="",0,'Catalogo Ferramenta'!H178)</x:f>
        <x:v>57.3</x:v>
      </x:c>
      <x:c r="I178" s="12" t="n">
        <x:f>IF('Catalogo Ferramenta'!I178="",0,'Catalogo Ferramenta'!I178)</x:f>
        <x:v>69.9</x:v>
      </x:c>
      <x:c r="J178" s="14" t="n">
        <x:f>IF('Catalogo Ferramenta'!J178="",22,'Catalogo Ferramenta'!J178)</x:f>
        <x:v>22</x:v>
      </x:c>
      <x:c r="K178" s="14" t="n">
        <x:f>IF('Catalogo Ferramenta'!K178="",0,'Catalogo Ferramenta'!K178)</x:f>
        <x:v>0</x:v>
      </x:c>
      <x:c r="L178" s="14" t="n">
        <x:f>1</x:f>
        <x:v>1</x:v>
      </x:c>
      <x:c r="M178" t="n">
        <x:f>'Catalogo Ferramenta'!L178</x:f>
        <x:v>0</x:v>
      </x:c>
      <x:c r="N178" t="n">
        <x:f>'Catalogo Ferramenta'!M178</x:f>
        <x:v>0</x:v>
      </x:c>
      <x:c r="O178" t="str">
        <x:f>'Catalogo Ferramenta'!N178</x:f>
        <x:v>BLACK+DECKER</x:v>
      </x:c>
      <x:c r="P178" t="str">
        <x:f>'Catalogo Ferramenta'!P178</x:f>
        <x:v>Catalogo Black+Decker Lo Specialista 2026, pagina 56. Prezzi se presenti: raccomandati dal catalogo.</x:v>
      </x:c>
      <x:c r="Q178" s="14" t="n">
        <x:f>'Catalogo Ferramenta'!R178</x:f>
        <x:v>56</x:v>
      </x:c>
      <x:c r="R178" t="str">
        <x:f>'Catalogo Ferramenta'!S178</x:f>
        <x:v>B+D_CATALOGO Lo Specialista 2026.pdf</x:v>
      </x:c>
      <x:c r="S178" s="45" t="b">
        <x:f>AND(D178&lt;&gt;"",B178&lt;&gt;"")</x:f>
        <x:v>1</x:v>
      </x:c>
      <x:c r="T178" t="str">
        <x:f>TEXTJOIN("; ",TRUE,IF(D178="","manca nome",""),IF(B178="","manca barcode",""),IF(H178=0,"prezzo costo da compilare",""),IF(I178=0,"prezzo vendita da compilare",""),IF(K178=0,"quantità da compilare",""))</x:f>
        <x:v>quantità da compilare</x:v>
      </x:c>
    </x:row>
    <x:row r="179">
      <x:c r="A179" t="str">
        <x:f>'Catalogo Ferramenta'!A179</x:f>
        <x:v>BD-0178</x:v>
      </x:c>
      <x:c r="B179" t="str">
        <x:f>'Catalogo Ferramenta'!B179</x:f>
        <x:v>5035048726044</x:v>
      </x:c>
      <x:c r="C179" t="str">
        <x:f>'Catalogo Ferramenta'!C179</x:f>
        <x:v>BEZ100-XJ</x:v>
      </x:c>
      <x:c r="D179" t="str">
        <x:f>'Catalogo Ferramenta'!D179</x:f>
        <x:v>Cavalletto per troncatrice</x:v>
      </x:c>
      <x:c r="E179" t="str">
        <x:f>'Catalogo Ferramenta'!E179</x:f>
        <x:v>BLACK+DECKER</x:v>
      </x:c>
      <x:c r="F179" t="str">
        <x:f>'Catalogo Ferramenta'!F179</x:f>
        <x:v>ELETTROUTENSILI</x:v>
      </x:c>
      <x:c r="G179" t="str">
        <x:f>'Catalogo Ferramenta'!G179</x:f>
        <x:v>UTENSILI PER TAGLIARE</x:v>
      </x:c>
      <x:c r="H179" s="12" t="n">
        <x:f>IF('Catalogo Ferramenta'!H179="",0,'Catalogo Ferramenta'!H179)</x:f>
        <x:v>0</x:v>
      </x:c>
      <x:c r="I179" s="12" t="n">
        <x:f>IF('Catalogo Ferramenta'!I179="",0,'Catalogo Ferramenta'!I179)</x:f>
        <x:v>0</x:v>
      </x:c>
      <x:c r="J179" s="14" t="n">
        <x:f>IF('Catalogo Ferramenta'!J179="",22,'Catalogo Ferramenta'!J179)</x:f>
        <x:v>22</x:v>
      </x:c>
      <x:c r="K179" s="14" t="n">
        <x:f>IF('Catalogo Ferramenta'!K179="",0,'Catalogo Ferramenta'!K179)</x:f>
        <x:v>0</x:v>
      </x:c>
      <x:c r="L179" s="14" t="n">
        <x:f>1</x:f>
        <x:v>1</x:v>
      </x:c>
      <x:c r="M179" t="n">
        <x:f>'Catalogo Ferramenta'!L179</x:f>
        <x:v>0</x:v>
      </x:c>
      <x:c r="N179" t="n">
        <x:f>'Catalogo Ferramenta'!M179</x:f>
        <x:v>0</x:v>
      </x:c>
      <x:c r="O179" t="str">
        <x:f>'Catalogo Ferramenta'!N179</x:f>
        <x:v>BLACK+DECKER</x:v>
      </x:c>
      <x:c r="P179" t="str">
        <x:f>'Catalogo Ferramenta'!P179</x:f>
        <x:v>Catalogo Black+Decker Lo Specialista 2026, pagina 40. Prezzi se presenti: raccomandati dal catalogo.</x:v>
      </x:c>
      <x:c r="Q179" s="14" t="n">
        <x:f>'Catalogo Ferramenta'!R179</x:f>
        <x:v>40</x:v>
      </x:c>
      <x:c r="R179" t="str">
        <x:f>'Catalogo Ferramenta'!S179</x:f>
        <x:v>B+D_CATALOGO Lo Specialista 2026.pdf</x:v>
      </x:c>
      <x:c r="S179" s="45" t="b">
        <x:f>AND(D179&lt;&gt;"",B179&lt;&gt;"")</x:f>
        <x:v>1</x:v>
      </x:c>
      <x:c r="T179" t="str">
        <x:f>TEXTJOIN("; ",TRUE,IF(D179="","manca nome",""),IF(B179="","manca barcode",""),IF(H179=0,"prezzo costo da compilare",""),IF(I179=0,"prezzo vendita da compilare",""),IF(K179=0,"quantità da compilare",""))</x:f>
        <x:v>prezzo costo da compilare; prezzo vendita da compilare; quantità da compilare</x:v>
      </x:c>
    </x:row>
    <x:row r="180">
      <x:c r="A180" t="str">
        <x:f>'Catalogo Ferramenta'!A180</x:f>
        <x:v>BD-0179</x:v>
      </x:c>
      <x:c r="B180" t="str">
        <x:f>'Catalogo Ferramenta'!B180</x:f>
        <x:v>5035048790243</x:v>
      </x:c>
      <x:c r="C180" t="str">
        <x:f>'Catalogo Ferramenta'!C180</x:f>
        <x:v>BHSM15FX08-QS</x:v>
      </x:c>
      <x:c r="D180" t="str">
        <x:f>'Catalogo Ferramenta'!D180</x:f>
        <x:v>Lavapavimenti a vapore SteamSystem 8in1</x:v>
      </x:c>
      <x:c r="E180" t="str">
        <x:f>'Catalogo Ferramenta'!E180</x:f>
        <x:v>BLACK+DECKER</x:v>
      </x:c>
      <x:c r="F180" t="str">
        <x:f>'Catalogo Ferramenta'!F180</x:f>
        <x:v>CURA DELLA CASA</x:v>
      </x:c>
      <x:c r="G180" t="str">
        <x:f>'Catalogo Ferramenta'!G180</x:f>
        <x:v>CURA DELLA CASA</x:v>
      </x:c>
      <x:c r="H180" s="12" t="n">
        <x:f>IF('Catalogo Ferramenta'!H180="",0,'Catalogo Ferramenta'!H180)</x:f>
        <x:v>90.1</x:v>
      </x:c>
      <x:c r="I180" s="12" t="n">
        <x:f>IF('Catalogo Ferramenta'!I180="",0,'Catalogo Ferramenta'!I180)</x:f>
        <x:v>109.9</x:v>
      </x:c>
      <x:c r="J180" s="14" t="n">
        <x:f>IF('Catalogo Ferramenta'!J180="",22,'Catalogo Ferramenta'!J180)</x:f>
        <x:v>22</x:v>
      </x:c>
      <x:c r="K180" s="14" t="n">
        <x:f>IF('Catalogo Ferramenta'!K180="",0,'Catalogo Ferramenta'!K180)</x:f>
        <x:v>0</x:v>
      </x:c>
      <x:c r="L180" s="14" t="n">
        <x:f>1</x:f>
        <x:v>1</x:v>
      </x:c>
      <x:c r="M180" t="n">
        <x:f>'Catalogo Ferramenta'!L180</x:f>
        <x:v>0</x:v>
      </x:c>
      <x:c r="N180" t="n">
        <x:f>'Catalogo Ferramenta'!M180</x:f>
        <x:v>0</x:v>
      </x:c>
      <x:c r="O180" t="str">
        <x:f>'Catalogo Ferramenta'!N180</x:f>
        <x:v>BLACK+DECKER</x:v>
      </x:c>
      <x:c r="P180" t="str">
        <x:f>'Catalogo Ferramenta'!P180</x:f>
        <x:v>Catalogo Black+Decker Lo Specialista 2026, pagina 124. Prezzi se presenti: raccomandati dal catalogo.</x:v>
      </x:c>
      <x:c r="Q180" s="14" t="n">
        <x:f>'Catalogo Ferramenta'!R180</x:f>
        <x:v>124</x:v>
      </x:c>
      <x:c r="R180" t="str">
        <x:f>'Catalogo Ferramenta'!S180</x:f>
        <x:v>B+D_CATALOGO Lo Specialista 2026.pdf</x:v>
      </x:c>
      <x:c r="S180" s="45" t="b">
        <x:f>AND(D180&lt;&gt;"",B180&lt;&gt;"")</x:f>
        <x:v>1</x:v>
      </x:c>
      <x:c r="T180" t="str">
        <x:f>TEXTJOIN("; ",TRUE,IF(D180="","manca nome",""),IF(B180="","manca barcode",""),IF(H180=0,"prezzo costo da compilare",""),IF(I180=0,"prezzo vendita da compilare",""),IF(K180=0,"quantità da compilare",""))</x:f>
        <x:v>quantità da compilare</x:v>
      </x:c>
    </x:row>
    <x:row r="181">
      <x:c r="A181" t="str">
        <x:f>'Catalogo Ferramenta'!A181</x:f>
        <x:v>BD-0180</x:v>
      </x:c>
      <x:c r="B181" t="str">
        <x:f>'Catalogo Ferramenta'!B181</x:f>
        <x:v>5035048447178</x:v>
      </x:c>
      <x:c r="C181" t="str">
        <x:f>'Catalogo Ferramenta'!C181</x:f>
        <x:v>BL2018-XJ</x:v>
      </x:c>
      <x:c r="D181" t="str">
        <x:f>'Catalogo Ferramenta'!D181</x:f>
        <x:v>Batteria al Litio 18V - 2.0Ah</x:v>
      </x:c>
      <x:c r="E181" t="str">
        <x:f>'Catalogo Ferramenta'!E181</x:f>
        <x:v>BLACK+DECKER</x:v>
      </x:c>
      <x:c r="F181" t="str">
        <x:f>'Catalogo Ferramenta'!F181</x:f>
        <x:v>BATTERIE E CARICABATTERIE</x:v>
      </x:c>
      <x:c r="G181" t="str">
        <x:f>'Catalogo Ferramenta'!G181</x:f>
        <x:v>BATTERIE E CARICABATTERIE</x:v>
      </x:c>
      <x:c r="H181" s="12" t="n">
        <x:f>IF('Catalogo Ferramenta'!H181="",0,'Catalogo Ferramenta'!H181)</x:f>
        <x:v>24.5</x:v>
      </x:c>
      <x:c r="I181" s="12" t="n">
        <x:f>IF('Catalogo Ferramenta'!I181="",0,'Catalogo Ferramenta'!I181)</x:f>
        <x:v>29.9</x:v>
      </x:c>
      <x:c r="J181" s="14" t="n">
        <x:f>IF('Catalogo Ferramenta'!J181="",22,'Catalogo Ferramenta'!J181)</x:f>
        <x:v>22</x:v>
      </x:c>
      <x:c r="K181" s="14" t="n">
        <x:f>IF('Catalogo Ferramenta'!K181="",0,'Catalogo Ferramenta'!K181)</x:f>
        <x:v>0</x:v>
      </x:c>
      <x:c r="L181" s="14" t="n">
        <x:f>1</x:f>
        <x:v>1</x:v>
      </x:c>
      <x:c r="M181" t="n">
        <x:f>'Catalogo Ferramenta'!L181</x:f>
        <x:v>0</x:v>
      </x:c>
      <x:c r="N181" t="n">
        <x:f>'Catalogo Ferramenta'!M181</x:f>
        <x:v>0</x:v>
      </x:c>
      <x:c r="O181" t="str">
        <x:f>'Catalogo Ferramenta'!N181</x:f>
        <x:v>BLACK+DECKER</x:v>
      </x:c>
      <x:c r="P181" t="str">
        <x:f>'Catalogo Ferramenta'!P181</x:f>
        <x:v>Catalogo Black+Decker Lo Specialista 2026, pagina 126. Prezzi se presenti: raccomandati dal catalogo.</x:v>
      </x:c>
      <x:c r="Q181" s="14" t="n">
        <x:f>'Catalogo Ferramenta'!R181</x:f>
        <x:v>126</x:v>
      </x:c>
      <x:c r="R181" t="str">
        <x:f>'Catalogo Ferramenta'!S181</x:f>
        <x:v>B+D_CATALOGO Lo Specialista 2026.pdf</x:v>
      </x:c>
      <x:c r="S181" s="45" t="b">
        <x:f>AND(D181&lt;&gt;"",B181&lt;&gt;"")</x:f>
        <x:v>1</x:v>
      </x:c>
      <x:c r="T181" t="str">
        <x:f>TEXTJOIN("; ",TRUE,IF(D181="","manca nome",""),IF(B181="","manca barcode",""),IF(H181=0,"prezzo costo da compilare",""),IF(I181=0,"prezzo vendita da compilare",""),IF(K181=0,"quantità da compilare",""))</x:f>
        <x:v>quantità da compilare</x:v>
      </x:c>
    </x:row>
    <x:row r="182">
      <x:c r="A182" t="str">
        <x:f>'Catalogo Ferramenta'!A182</x:f>
        <x:v>BD-0181</x:v>
      </x:c>
      <x:c r="B182" t="str">
        <x:f>'Catalogo Ferramenta'!B182</x:f>
        <x:v>5035048636954</x:v>
      </x:c>
      <x:c r="C182" t="str">
        <x:f>'Catalogo Ferramenta'!C182</x:f>
        <x:v>BL20362-XJ</x:v>
      </x:c>
      <x:c r="D182" t="str">
        <x:f>'Catalogo Ferramenta'!D182</x:f>
        <x:v>Batteria al Litio 36V - 2.0Ah</x:v>
      </x:c>
      <x:c r="E182" t="str">
        <x:f>'Catalogo Ferramenta'!E182</x:f>
        <x:v>BLACK+DECKER</x:v>
      </x:c>
      <x:c r="F182" t="str">
        <x:f>'Catalogo Ferramenta'!F182</x:f>
        <x:v>BATTERIE E CARICABATTERIE</x:v>
      </x:c>
      <x:c r="G182" t="str">
        <x:f>'Catalogo Ferramenta'!G182</x:f>
        <x:v>BATTERIE E CARICABATTERIE</x:v>
      </x:c>
      <x:c r="H182" s="12" t="n">
        <x:f>IF('Catalogo Ferramenta'!H182="",0,'Catalogo Ferramenta'!H182)</x:f>
        <x:v>81.9</x:v>
      </x:c>
      <x:c r="I182" s="12" t="n">
        <x:f>IF('Catalogo Ferramenta'!I182="",0,'Catalogo Ferramenta'!I182)</x:f>
        <x:v>99.9</x:v>
      </x:c>
      <x:c r="J182" s="14" t="n">
        <x:f>IF('Catalogo Ferramenta'!J182="",22,'Catalogo Ferramenta'!J182)</x:f>
        <x:v>22</x:v>
      </x:c>
      <x:c r="K182" s="14" t="n">
        <x:f>IF('Catalogo Ferramenta'!K182="",0,'Catalogo Ferramenta'!K182)</x:f>
        <x:v>0</x:v>
      </x:c>
      <x:c r="L182" s="14" t="n">
        <x:f>1</x:f>
        <x:v>1</x:v>
      </x:c>
      <x:c r="M182" t="n">
        <x:f>'Catalogo Ferramenta'!L182</x:f>
        <x:v>0</x:v>
      </x:c>
      <x:c r="N182" t="n">
        <x:f>'Catalogo Ferramenta'!M182</x:f>
        <x:v>0</x:v>
      </x:c>
      <x:c r="O182" t="str">
        <x:f>'Catalogo Ferramenta'!N182</x:f>
        <x:v>BLACK+DECKER</x:v>
      </x:c>
      <x:c r="P182" t="str">
        <x:f>'Catalogo Ferramenta'!P182</x:f>
        <x:v>Catalogo Black+Decker Lo Specialista 2026, pagina 127. Prezzi se presenti: raccomandati dal catalogo.</x:v>
      </x:c>
      <x:c r="Q182" s="14" t="n">
        <x:f>'Catalogo Ferramenta'!R182</x:f>
        <x:v>127</x:v>
      </x:c>
      <x:c r="R182" t="str">
        <x:f>'Catalogo Ferramenta'!S182</x:f>
        <x:v>B+D_CATALOGO Lo Specialista 2026.pdf</x:v>
      </x:c>
      <x:c r="S182" s="45" t="b">
        <x:f>AND(D182&lt;&gt;"",B182&lt;&gt;"")</x:f>
        <x:v>1</x:v>
      </x:c>
      <x:c r="T182" t="str">
        <x:f>TEXTJOIN("; ",TRUE,IF(D182="","manca nome",""),IF(B182="","manca barcode",""),IF(H182=0,"prezzo costo da compilare",""),IF(I182=0,"prezzo vendita da compilare",""),IF(K182=0,"quantità da compilare",""))</x:f>
        <x:v>quantità da compilare</x:v>
      </x:c>
    </x:row>
    <x:row r="183">
      <x:c r="A183" t="str">
        <x:f>'Catalogo Ferramenta'!A183</x:f>
        <x:v>BD-0182</x:v>
      </x:c>
      <x:c r="B183" t="str">
        <x:f>'Catalogo Ferramenta'!B183</x:f>
        <x:v>5035048658420</x:v>
      </x:c>
      <x:c r="C183" t="str">
        <x:f>'Catalogo Ferramenta'!C183</x:f>
        <x:v>BL2518-XJ</x:v>
      </x:c>
      <x:c r="D183" t="str">
        <x:f>'Catalogo Ferramenta'!D183</x:f>
        <x:v>Batteria al Litio 18V - 2.5Ah</x:v>
      </x:c>
      <x:c r="E183" t="str">
        <x:f>'Catalogo Ferramenta'!E183</x:f>
        <x:v>BLACK+DECKER</x:v>
      </x:c>
      <x:c r="F183" t="str">
        <x:f>'Catalogo Ferramenta'!F183</x:f>
        <x:v>BATTERIE E CARICABATTERIE</x:v>
      </x:c>
      <x:c r="G183" t="str">
        <x:f>'Catalogo Ferramenta'!G183</x:f>
        <x:v>BATTERIE E CARICABATTERIE</x:v>
      </x:c>
      <x:c r="H183" s="12" t="n">
        <x:f>IF('Catalogo Ferramenta'!H183="",0,'Catalogo Ferramenta'!H183)</x:f>
        <x:v>28.5</x:v>
      </x:c>
      <x:c r="I183" s="12" t="n">
        <x:f>IF('Catalogo Ferramenta'!I183="",0,'Catalogo Ferramenta'!I183)</x:f>
        <x:v>34.8</x:v>
      </x:c>
      <x:c r="J183" s="14" t="n">
        <x:f>IF('Catalogo Ferramenta'!J183="",22,'Catalogo Ferramenta'!J183)</x:f>
        <x:v>22</x:v>
      </x:c>
      <x:c r="K183" s="14" t="n">
        <x:f>IF('Catalogo Ferramenta'!K183="",0,'Catalogo Ferramenta'!K183)</x:f>
        <x:v>0</x:v>
      </x:c>
      <x:c r="L183" s="14" t="n">
        <x:f>1</x:f>
        <x:v>1</x:v>
      </x:c>
      <x:c r="M183" t="n">
        <x:f>'Catalogo Ferramenta'!L183</x:f>
        <x:v>0</x:v>
      </x:c>
      <x:c r="N183" t="n">
        <x:f>'Catalogo Ferramenta'!M183</x:f>
        <x:v>0</x:v>
      </x:c>
      <x:c r="O183" t="str">
        <x:f>'Catalogo Ferramenta'!N183</x:f>
        <x:v>BLACK+DECKER</x:v>
      </x:c>
      <x:c r="P183" t="str">
        <x:f>'Catalogo Ferramenta'!P183</x:f>
        <x:v>Catalogo Black+Decker Lo Specialista 2026, pagina 126. Prezzi se presenti: raccomandati dal catalogo.</x:v>
      </x:c>
      <x:c r="Q183" s="14" t="n">
        <x:f>'Catalogo Ferramenta'!R183</x:f>
        <x:v>126</x:v>
      </x:c>
      <x:c r="R183" t="str">
        <x:f>'Catalogo Ferramenta'!S183</x:f>
        <x:v>B+D_CATALOGO Lo Specialista 2026.pdf</x:v>
      </x:c>
      <x:c r="S183" s="45" t="b">
        <x:f>AND(D183&lt;&gt;"",B183&lt;&gt;"")</x:f>
        <x:v>1</x:v>
      </x:c>
      <x:c r="T183" t="str">
        <x:f>TEXTJOIN("; ",TRUE,IF(D183="","manca nome",""),IF(B183="","manca barcode",""),IF(H183=0,"prezzo costo da compilare",""),IF(I183=0,"prezzo vendita da compilare",""),IF(K183=0,"quantità da compilare",""))</x:f>
        <x:v>quantità da compilare</x:v>
      </x:c>
    </x:row>
    <x:row r="184">
      <x:c r="A184" t="str">
        <x:f>'Catalogo Ferramenta'!A184</x:f>
        <x:v>BD-0183</x:v>
      </x:c>
      <x:c r="B184" t="str">
        <x:f>'Catalogo Ferramenta'!B184</x:f>
        <x:v>5035048713044</x:v>
      </x:c>
      <x:c r="C184" t="str">
        <x:f>'Catalogo Ferramenta'!C184</x:f>
        <x:v>BL2536-XJ</x:v>
      </x:c>
      <x:c r="D184" t="str">
        <x:f>'Catalogo Ferramenta'!D184</x:f>
        <x:v>Batteria al litio 36V 2.5 Ah</x:v>
      </x:c>
      <x:c r="E184" t="str">
        <x:f>'Catalogo Ferramenta'!E184</x:f>
        <x:v>BLACK+DECKER</x:v>
      </x:c>
      <x:c r="F184" t="str">
        <x:f>'Catalogo Ferramenta'!F184</x:f>
        <x:v>BATTERIE E CARICABATTERIE</x:v>
      </x:c>
      <x:c r="G184" t="str">
        <x:f>'Catalogo Ferramenta'!G184</x:f>
        <x:v>BATTERIE E CARICABATTERIE</x:v>
      </x:c>
      <x:c r="H184" s="12" t="n">
        <x:f>IF('Catalogo Ferramenta'!H184="",0,'Catalogo Ferramenta'!H184)</x:f>
        <x:v>90.1</x:v>
      </x:c>
      <x:c r="I184" s="12" t="n">
        <x:f>IF('Catalogo Ferramenta'!I184="",0,'Catalogo Ferramenta'!I184)</x:f>
        <x:v>109.9</x:v>
      </x:c>
      <x:c r="J184" s="14" t="n">
        <x:f>IF('Catalogo Ferramenta'!J184="",22,'Catalogo Ferramenta'!J184)</x:f>
        <x:v>22</x:v>
      </x:c>
      <x:c r="K184" s="14" t="n">
        <x:f>IF('Catalogo Ferramenta'!K184="",0,'Catalogo Ferramenta'!K184)</x:f>
        <x:v>0</x:v>
      </x:c>
      <x:c r="L184" s="14" t="n">
        <x:f>1</x:f>
        <x:v>1</x:v>
      </x:c>
      <x:c r="M184" t="n">
        <x:f>'Catalogo Ferramenta'!L184</x:f>
        <x:v>0</x:v>
      </x:c>
      <x:c r="N184" t="n">
        <x:f>'Catalogo Ferramenta'!M184</x:f>
        <x:v>0</x:v>
      </x:c>
      <x:c r="O184" t="str">
        <x:f>'Catalogo Ferramenta'!N184</x:f>
        <x:v>BLACK+DECKER</x:v>
      </x:c>
      <x:c r="P184" t="str">
        <x:f>'Catalogo Ferramenta'!P184</x:f>
        <x:v>Catalogo Black+Decker Lo Specialista 2026, pagina 127. Prezzi se presenti: raccomandati dal catalogo.</x:v>
      </x:c>
      <x:c r="Q184" s="14" t="n">
        <x:f>'Catalogo Ferramenta'!R184</x:f>
        <x:v>127</x:v>
      </x:c>
      <x:c r="R184" t="str">
        <x:f>'Catalogo Ferramenta'!S184</x:f>
        <x:v>B+D_CATALOGO Lo Specialista 2026.pdf</x:v>
      </x:c>
      <x:c r="S184" s="45" t="b">
        <x:f>AND(D184&lt;&gt;"",B184&lt;&gt;"")</x:f>
        <x:v>1</x:v>
      </x:c>
      <x:c r="T184" t="str">
        <x:f>TEXTJOIN("; ",TRUE,IF(D184="","manca nome",""),IF(B184="","manca barcode",""),IF(H184=0,"prezzo costo da compilare",""),IF(I184=0,"prezzo vendita da compilare",""),IF(K184=0,"quantità da compilare",""))</x:f>
        <x:v>quantità da compilare</x:v>
      </x:c>
    </x:row>
    <x:row r="185">
      <x:c r="A185" t="str">
        <x:f>'Catalogo Ferramenta'!A185</x:f>
        <x:v>BD-0184</x:v>
      </x:c>
      <x:c r="B185" t="str">
        <x:f>'Catalogo Ferramenta'!B185</x:f>
        <x:v>5035048560044</x:v>
      </x:c>
      <x:c r="C185" t="str">
        <x:f>'Catalogo Ferramenta'!C185</x:f>
        <x:v>BL4018-XJ</x:v>
      </x:c>
      <x:c r="D185" t="str">
        <x:f>'Catalogo Ferramenta'!D185</x:f>
        <x:v>Batteria al Litio 18V - 4.0Ah</x:v>
      </x:c>
      <x:c r="E185" t="str">
        <x:f>'Catalogo Ferramenta'!E185</x:f>
        <x:v>BLACK+DECKER</x:v>
      </x:c>
      <x:c r="F185" t="str">
        <x:f>'Catalogo Ferramenta'!F185</x:f>
        <x:v>BATTERIE E CARICABATTERIE</x:v>
      </x:c>
      <x:c r="G185" t="str">
        <x:f>'Catalogo Ferramenta'!G185</x:f>
        <x:v>BATTERIE E CARICABATTERIE</x:v>
      </x:c>
      <x:c r="H185" s="12" t="n">
        <x:f>IF('Catalogo Ferramenta'!H185="",0,'Catalogo Ferramenta'!H185)</x:f>
        <x:v>40.9</x:v>
      </x:c>
      <x:c r="I185" s="12" t="n">
        <x:f>IF('Catalogo Ferramenta'!I185="",0,'Catalogo Ferramenta'!I185)</x:f>
        <x:v>49.9</x:v>
      </x:c>
      <x:c r="J185" s="14" t="n">
        <x:f>IF('Catalogo Ferramenta'!J185="",22,'Catalogo Ferramenta'!J185)</x:f>
        <x:v>22</x:v>
      </x:c>
      <x:c r="K185" s="14" t="n">
        <x:f>IF('Catalogo Ferramenta'!K185="",0,'Catalogo Ferramenta'!K185)</x:f>
        <x:v>0</x:v>
      </x:c>
      <x:c r="L185" s="14" t="n">
        <x:f>1</x:f>
        <x:v>1</x:v>
      </x:c>
      <x:c r="M185" t="n">
        <x:f>'Catalogo Ferramenta'!L185</x:f>
        <x:v>0</x:v>
      </x:c>
      <x:c r="N185" t="n">
        <x:f>'Catalogo Ferramenta'!M185</x:f>
        <x:v>0</x:v>
      </x:c>
      <x:c r="O185" t="str">
        <x:f>'Catalogo Ferramenta'!N185</x:f>
        <x:v>BLACK+DECKER</x:v>
      </x:c>
      <x:c r="P185" t="str">
        <x:f>'Catalogo Ferramenta'!P185</x:f>
        <x:v>Catalogo Black+Decker Lo Specialista 2026, pagina 126. Prezzi se presenti: raccomandati dal catalogo.</x:v>
      </x:c>
      <x:c r="Q185" s="14" t="n">
        <x:f>'Catalogo Ferramenta'!R185</x:f>
        <x:v>126</x:v>
      </x:c>
      <x:c r="R185" t="str">
        <x:f>'Catalogo Ferramenta'!S185</x:f>
        <x:v>B+D_CATALOGO Lo Specialista 2026.pdf</x:v>
      </x:c>
      <x:c r="S185" s="45" t="b">
        <x:f>AND(D185&lt;&gt;"",B185&lt;&gt;"")</x:f>
        <x:v>1</x:v>
      </x:c>
      <x:c r="T185" t="str">
        <x:f>TEXTJOIN("; ",TRUE,IF(D185="","manca nome",""),IF(B185="","manca barcode",""),IF(H185=0,"prezzo costo da compilare",""),IF(I185=0,"prezzo vendita da compilare",""),IF(K185=0,"quantità da compilare",""))</x:f>
        <x:v>quantità da compilare</x:v>
      </x:c>
    </x:row>
    <x:row r="186">
      <x:c r="A186" t="str">
        <x:f>'Catalogo Ferramenta'!A186</x:f>
        <x:v>BD-0185</x:v>
      </x:c>
      <x:c r="B186" t="str">
        <x:f>'Catalogo Ferramenta'!B186</x:f>
        <x:v>5054905337124</x:v>
      </x:c>
      <x:c r="C186" t="str">
        <x:f>'Catalogo Ferramenta'!C186</x:f>
        <x:v>BLCCS78E1-QW</x:v>
      </x:c>
      <x:c r="D186" t="str">
        <x:f>'Catalogo Ferramenta'!D186</x:f>
        <x:v>Sega circolare brushless 18V 2.5Ah</x:v>
      </x:c>
      <x:c r="E186" t="str">
        <x:f>'Catalogo Ferramenta'!E186</x:f>
        <x:v>BLACK+DECKER</x:v>
      </x:c>
      <x:c r="F186" t="str">
        <x:f>'Catalogo Ferramenta'!F186</x:f>
        <x:v>ELETTROUTENSILI</x:v>
      </x:c>
      <x:c r="G186" t="str">
        <x:f>'Catalogo Ferramenta'!G186</x:f>
        <x:v>UTENSILI PER TAGLIARE</x:v>
      </x:c>
      <x:c r="H186" s="12" t="n">
        <x:f>IF('Catalogo Ferramenta'!H186="",0,'Catalogo Ferramenta'!H186)</x:f>
        <x:v>98.5</x:v>
      </x:c>
      <x:c r="I186" s="12" t="n">
        <x:f>IF('Catalogo Ferramenta'!I186="",0,'Catalogo Ferramenta'!I186)</x:f>
        <x:v>120.2</x:v>
      </x:c>
      <x:c r="J186" s="14" t="n">
        <x:f>IF('Catalogo Ferramenta'!J186="",22,'Catalogo Ferramenta'!J186)</x:f>
        <x:v>22</x:v>
      </x:c>
      <x:c r="K186" s="14" t="n">
        <x:f>IF('Catalogo Ferramenta'!K186="",0,'Catalogo Ferramenta'!K186)</x:f>
        <x:v>0</x:v>
      </x:c>
      <x:c r="L186" s="14" t="n">
        <x:f>1</x:f>
        <x:v>1</x:v>
      </x:c>
      <x:c r="M186" t="n">
        <x:f>'Catalogo Ferramenta'!L186</x:f>
        <x:v>0</x:v>
      </x:c>
      <x:c r="N186" t="n">
        <x:f>'Catalogo Ferramenta'!M186</x:f>
        <x:v>0</x:v>
      </x:c>
      <x:c r="O186" t="str">
        <x:f>'Catalogo Ferramenta'!N186</x:f>
        <x:v>BLACK+DECKER</x:v>
      </x:c>
      <x:c r="P186" t="str">
        <x:f>'Catalogo Ferramenta'!P186</x:f>
        <x:v>Catalogo Black+Decker Lo Specialista 2026, pagina 38. Prezzi se presenti: raccomandati dal catalogo.</x:v>
      </x:c>
      <x:c r="Q186" s="14" t="n">
        <x:f>'Catalogo Ferramenta'!R186</x:f>
        <x:v>38</x:v>
      </x:c>
      <x:c r="R186" t="str">
        <x:f>'Catalogo Ferramenta'!S186</x:f>
        <x:v>B+D_CATALOGO Lo Specialista 2026.pdf</x:v>
      </x:c>
      <x:c r="S186" s="45" t="b">
        <x:f>AND(D186&lt;&gt;"",B186&lt;&gt;"")</x:f>
        <x:v>1</x:v>
      </x:c>
      <x:c r="T186" t="str">
        <x:f>TEXTJOIN("; ",TRUE,IF(D186="","manca nome",""),IF(B186="","manca barcode",""),IF(H186=0,"prezzo costo da compilare",""),IF(I186=0,"prezzo vendita da compilare",""),IF(K186=0,"quantità da compilare",""))</x:f>
        <x:v>quantità da compilare</x:v>
      </x:c>
    </x:row>
    <x:row r="187">
      <x:c r="A187" t="str">
        <x:f>'Catalogo Ferramenta'!A187</x:f>
        <x:v>BD-0186</x:v>
      </x:c>
      <x:c r="B187" t="str">
        <x:f>'Catalogo Ferramenta'!B187</x:f>
        <x:v>5054905337155</x:v>
      </x:c>
      <x:c r="C187" t="str">
        <x:f>'Catalogo Ferramenta'!C187</x:f>
        <x:v>BLCCS78M1-QW</x:v>
      </x:c>
      <x:c r="D187" t="str">
        <x:f>'Catalogo Ferramenta'!D187</x:f>
        <x:v>Sega circolare brushless 18V 4.0Ah</x:v>
      </x:c>
      <x:c r="E187" t="str">
        <x:f>'Catalogo Ferramenta'!E187</x:f>
        <x:v>BLACK+DECKER</x:v>
      </x:c>
      <x:c r="F187" t="str">
        <x:f>'Catalogo Ferramenta'!F187</x:f>
        <x:v>ELETTROUTENSILI</x:v>
      </x:c>
      <x:c r="G187" t="str">
        <x:f>'Catalogo Ferramenta'!G187</x:f>
        <x:v>UTENSILI PER TAGLIARE</x:v>
      </x:c>
      <x:c r="H187" s="12" t="n">
        <x:f>IF('Catalogo Ferramenta'!H187="",0,'Catalogo Ferramenta'!H187)</x:f>
        <x:v>0</x:v>
      </x:c>
      <x:c r="I187" s="12" t="n">
        <x:f>IF('Catalogo Ferramenta'!I187="",0,'Catalogo Ferramenta'!I187)</x:f>
        <x:v>0</x:v>
      </x:c>
      <x:c r="J187" s="14" t="n">
        <x:f>IF('Catalogo Ferramenta'!J187="",22,'Catalogo Ferramenta'!J187)</x:f>
        <x:v>22</x:v>
      </x:c>
      <x:c r="K187" s="14" t="n">
        <x:f>IF('Catalogo Ferramenta'!K187="",0,'Catalogo Ferramenta'!K187)</x:f>
        <x:v>0</x:v>
      </x:c>
      <x:c r="L187" s="14" t="n">
        <x:f>1</x:f>
        <x:v>1</x:v>
      </x:c>
      <x:c r="M187" t="n">
        <x:f>'Catalogo Ferramenta'!L187</x:f>
        <x:v>0</x:v>
      </x:c>
      <x:c r="N187" t="n">
        <x:f>'Catalogo Ferramenta'!M187</x:f>
        <x:v>0</x:v>
      </x:c>
      <x:c r="O187" t="str">
        <x:f>'Catalogo Ferramenta'!N187</x:f>
        <x:v>BLACK+DECKER</x:v>
      </x:c>
      <x:c r="P187" t="str">
        <x:f>'Catalogo Ferramenta'!P187</x:f>
        <x:v>Catalogo Black+Decker Lo Specialista 2026, pagina 38. Prezzi se presenti: raccomandati dal catalogo.</x:v>
      </x:c>
      <x:c r="Q187" s="14" t="n">
        <x:f>'Catalogo Ferramenta'!R187</x:f>
        <x:v>38</x:v>
      </x:c>
      <x:c r="R187" t="str">
        <x:f>'Catalogo Ferramenta'!S187</x:f>
        <x:v>B+D_CATALOGO Lo Specialista 2026.pdf</x:v>
      </x:c>
      <x:c r="S187" s="45" t="b">
        <x:f>AND(D187&lt;&gt;"",B187&lt;&gt;"")</x:f>
        <x:v>1</x:v>
      </x:c>
      <x:c r="T187" t="str">
        <x:f>TEXTJOIN("; ",TRUE,IF(D187="","manca nome",""),IF(B187="","manca barcode",""),IF(H187=0,"prezzo costo da compilare",""),IF(I187=0,"prezzo vendita da compilare",""),IF(K187=0,"quantità da compilare",""))</x:f>
        <x:v>prezzo costo da compilare; prezzo vendita da compilare; quantità da compilare</x:v>
      </x:c>
    </x:row>
    <x:row r="188">
      <x:c r="A188" t="str">
        <x:f>'Catalogo Ferramenta'!A188</x:f>
        <x:v>BD-0187</x:v>
      </x:c>
      <x:c r="B188" t="str">
        <x:f>'Catalogo Ferramenta'!B188</x:f>
        <x:v>5054905337186</x:v>
      </x:c>
      <x:c r="C188" t="str">
        <x:f>'Catalogo Ferramenta'!C188</x:f>
        <x:v>BLCCS78N-XJ</x:v>
      </x:c>
      <x:c r="D188" t="str">
        <x:f>'Catalogo Ferramenta'!D188</x:f>
        <x:v>Sega circolare brushless (solo corpo macchina)</x:v>
      </x:c>
      <x:c r="E188" t="str">
        <x:f>'Catalogo Ferramenta'!E188</x:f>
        <x:v>BLACK+DECKER</x:v>
      </x:c>
      <x:c r="F188" t="str">
        <x:f>'Catalogo Ferramenta'!F188</x:f>
        <x:v>ELETTROUTENSILI</x:v>
      </x:c>
      <x:c r="G188" t="str">
        <x:f>'Catalogo Ferramenta'!G188</x:f>
        <x:v>UTENSILI PER TAGLIARE</x:v>
      </x:c>
      <x:c r="H188" s="12" t="n">
        <x:f>IF('Catalogo Ferramenta'!H188="",0,'Catalogo Ferramenta'!H188)</x:f>
        <x:v>123.1</x:v>
      </x:c>
      <x:c r="I188" s="12" t="n">
        <x:f>IF('Catalogo Ferramenta'!I188="",0,'Catalogo Ferramenta'!I188)</x:f>
        <x:v>150.2</x:v>
      </x:c>
      <x:c r="J188" s="14" t="n">
        <x:f>IF('Catalogo Ferramenta'!J188="",22,'Catalogo Ferramenta'!J188)</x:f>
        <x:v>22</x:v>
      </x:c>
      <x:c r="K188" s="14" t="n">
        <x:f>IF('Catalogo Ferramenta'!K188="",0,'Catalogo Ferramenta'!K188)</x:f>
        <x:v>0</x:v>
      </x:c>
      <x:c r="L188" s="14" t="n">
        <x:f>1</x:f>
        <x:v>1</x:v>
      </x:c>
      <x:c r="M188" t="n">
        <x:f>'Catalogo Ferramenta'!L188</x:f>
        <x:v>0</x:v>
      </x:c>
      <x:c r="N188" t="n">
        <x:f>'Catalogo Ferramenta'!M188</x:f>
        <x:v>0</x:v>
      </x:c>
      <x:c r="O188" t="str">
        <x:f>'Catalogo Ferramenta'!N188</x:f>
        <x:v>BLACK+DECKER</x:v>
      </x:c>
      <x:c r="P188" t="str">
        <x:f>'Catalogo Ferramenta'!P188</x:f>
        <x:v>Catalogo Black+Decker Lo Specialista 2026, pagina 38. Prezzi se presenti: raccomandati dal catalogo.</x:v>
      </x:c>
      <x:c r="Q188" s="14" t="n">
        <x:f>'Catalogo Ferramenta'!R188</x:f>
        <x:v>38</x:v>
      </x:c>
      <x:c r="R188" t="str">
        <x:f>'Catalogo Ferramenta'!S188</x:f>
        <x:v>B+D_CATALOGO Lo Specialista 2026.pdf</x:v>
      </x:c>
      <x:c r="S188" s="45" t="b">
        <x:f>AND(D188&lt;&gt;"",B188&lt;&gt;"")</x:f>
        <x:v>1</x:v>
      </x:c>
      <x:c r="T188" t="str">
        <x:f>TEXTJOIN("; ",TRUE,IF(D188="","manca nome",""),IF(B188="","manca barcode",""),IF(H188=0,"prezzo costo da compilare",""),IF(I188=0,"prezzo vendita da compilare",""),IF(K188=0,"quantità da compilare",""))</x:f>
        <x:v>quantità da compilare</x:v>
      </x:c>
    </x:row>
    <x:row r="189">
      <x:c r="A189" t="str">
        <x:f>'Catalogo Ferramenta'!A189</x:f>
        <x:v>BD-0188</x:v>
      </x:c>
      <x:c r="B189" t="str">
        <x:f>'Catalogo Ferramenta'!B189</x:f>
        <x:v>5054905337025</x:v>
      </x:c>
      <x:c r="C189" t="str">
        <x:f>'Catalogo Ferramenta'!C189</x:f>
        <x:v>BLCR78E1-QW</x:v>
      </x:c>
      <x:c r="D189" t="str">
        <x:f>'Catalogo Ferramenta'!D189</x:f>
        <x:v>Sega universale brushless 18V 2.5Ah</x:v>
      </x:c>
      <x:c r="E189" t="str">
        <x:f>'Catalogo Ferramenta'!E189</x:f>
        <x:v>BLACK+DECKER</x:v>
      </x:c>
      <x:c r="F189" t="str">
        <x:f>'Catalogo Ferramenta'!F189</x:f>
        <x:v>ELETTROUTENSILI</x:v>
      </x:c>
      <x:c r="G189" t="str">
        <x:f>'Catalogo Ferramenta'!G189</x:f>
        <x:v>UTENSILI PER TAGLIARE</x:v>
      </x:c>
      <x:c r="H189" s="12" t="n">
        <x:f>IF('Catalogo Ferramenta'!H189="",0,'Catalogo Ferramenta'!H189)</x:f>
        <x:v>92.5</x:v>
      </x:c>
      <x:c r="I189" s="12" t="n">
        <x:f>IF('Catalogo Ferramenta'!I189="",0,'Catalogo Ferramenta'!I189)</x:f>
        <x:v>112.9</x:v>
      </x:c>
      <x:c r="J189" s="14" t="n">
        <x:f>IF('Catalogo Ferramenta'!J189="",22,'Catalogo Ferramenta'!J189)</x:f>
        <x:v>22</x:v>
      </x:c>
      <x:c r="K189" s="14" t="n">
        <x:f>IF('Catalogo Ferramenta'!K189="",0,'Catalogo Ferramenta'!K189)</x:f>
        <x:v>0</x:v>
      </x:c>
      <x:c r="L189" s="14" t="n">
        <x:f>1</x:f>
        <x:v>1</x:v>
      </x:c>
      <x:c r="M189" t="n">
        <x:f>'Catalogo Ferramenta'!L189</x:f>
        <x:v>0</x:v>
      </x:c>
      <x:c r="N189" t="n">
        <x:f>'Catalogo Ferramenta'!M189</x:f>
        <x:v>0</x:v>
      </x:c>
      <x:c r="O189" t="str">
        <x:f>'Catalogo Ferramenta'!N189</x:f>
        <x:v>BLACK+DECKER</x:v>
      </x:c>
      <x:c r="P189" t="str">
        <x:f>'Catalogo Ferramenta'!P189</x:f>
        <x:v>Catalogo Black+Decker Lo Specialista 2026, pagina 35. Prezzi se presenti: raccomandati dal catalogo.</x:v>
      </x:c>
      <x:c r="Q189" s="14" t="n">
        <x:f>'Catalogo Ferramenta'!R189</x:f>
        <x:v>35</x:v>
      </x:c>
      <x:c r="R189" t="str">
        <x:f>'Catalogo Ferramenta'!S189</x:f>
        <x:v>B+D_CATALOGO Lo Specialista 2026.pdf</x:v>
      </x:c>
      <x:c r="S189" s="45" t="b">
        <x:f>AND(D189&lt;&gt;"",B189&lt;&gt;"")</x:f>
        <x:v>1</x:v>
      </x:c>
      <x:c r="T189" t="str">
        <x:f>TEXTJOIN("; ",TRUE,IF(D189="","manca nome",""),IF(B189="","manca barcode",""),IF(H189=0,"prezzo costo da compilare",""),IF(I189=0,"prezzo vendita da compilare",""),IF(K189=0,"quantità da compilare",""))</x:f>
        <x:v>quantità da compilare</x:v>
      </x:c>
    </x:row>
    <x:row r="190">
      <x:c r="A190" t="str">
        <x:f>'Catalogo Ferramenta'!A190</x:f>
        <x:v>BD-0189</x:v>
      </x:c>
      <x:c r="B190" t="str">
        <x:f>'Catalogo Ferramenta'!B190</x:f>
        <x:v>5054905337056</x:v>
      </x:c>
      <x:c r="C190" t="str">
        <x:f>'Catalogo Ferramenta'!C190</x:f>
        <x:v>BLCR78M1-QW</x:v>
      </x:c>
      <x:c r="D190" t="str">
        <x:f>'Catalogo Ferramenta'!D190</x:f>
        <x:v>Sega universale brushless 18V 4.0Ah</x:v>
      </x:c>
      <x:c r="E190" t="str">
        <x:f>'Catalogo Ferramenta'!E190</x:f>
        <x:v>BLACK+DECKER</x:v>
      </x:c>
      <x:c r="F190" t="str">
        <x:f>'Catalogo Ferramenta'!F190</x:f>
        <x:v>ELETTROUTENSILI</x:v>
      </x:c>
      <x:c r="G190" t="str">
        <x:f>'Catalogo Ferramenta'!G190</x:f>
        <x:v>UTENSILI PER TAGLIARE</x:v>
      </x:c>
      <x:c r="H190" s="12" t="n">
        <x:f>IF('Catalogo Ferramenta'!H190="",0,'Catalogo Ferramenta'!H190)</x:f>
        <x:v>107.5</x:v>
      </x:c>
      <x:c r="I190" s="12" t="n">
        <x:f>IF('Catalogo Ferramenta'!I190="",0,'Catalogo Ferramenta'!I190)</x:f>
        <x:v>131.2</x:v>
      </x:c>
      <x:c r="J190" s="14" t="n">
        <x:f>IF('Catalogo Ferramenta'!J190="",22,'Catalogo Ferramenta'!J190)</x:f>
        <x:v>22</x:v>
      </x:c>
      <x:c r="K190" s="14" t="n">
        <x:f>IF('Catalogo Ferramenta'!K190="",0,'Catalogo Ferramenta'!K190)</x:f>
        <x:v>0</x:v>
      </x:c>
      <x:c r="L190" s="14" t="n">
        <x:f>1</x:f>
        <x:v>1</x:v>
      </x:c>
      <x:c r="M190" t="n">
        <x:f>'Catalogo Ferramenta'!L190</x:f>
        <x:v>0</x:v>
      </x:c>
      <x:c r="N190" t="n">
        <x:f>'Catalogo Ferramenta'!M190</x:f>
        <x:v>0</x:v>
      </x:c>
      <x:c r="O190" t="str">
        <x:f>'Catalogo Ferramenta'!N190</x:f>
        <x:v>BLACK+DECKER</x:v>
      </x:c>
      <x:c r="P190" t="str">
        <x:f>'Catalogo Ferramenta'!P190</x:f>
        <x:v>Catalogo Black+Decker Lo Specialista 2026, pagina 35. Prezzi se presenti: raccomandati dal catalogo.</x:v>
      </x:c>
      <x:c r="Q190" s="14" t="n">
        <x:f>'Catalogo Ferramenta'!R190</x:f>
        <x:v>35</x:v>
      </x:c>
      <x:c r="R190" t="str">
        <x:f>'Catalogo Ferramenta'!S190</x:f>
        <x:v>B+D_CATALOGO Lo Specialista 2026.pdf</x:v>
      </x:c>
      <x:c r="S190" s="45" t="b">
        <x:f>AND(D190&lt;&gt;"",B190&lt;&gt;"")</x:f>
        <x:v>1</x:v>
      </x:c>
      <x:c r="T190" t="str">
        <x:f>TEXTJOIN("; ",TRUE,IF(D190="","manca nome",""),IF(B190="","manca barcode",""),IF(H190=0,"prezzo costo da compilare",""),IF(I190=0,"prezzo vendita da compilare",""),IF(K190=0,"quantità da compilare",""))</x:f>
        <x:v>quantità da compilare</x:v>
      </x:c>
    </x:row>
    <x:row r="191">
      <x:c r="A191" t="str">
        <x:f>'Catalogo Ferramenta'!A191</x:f>
        <x:v>BD-0190</x:v>
      </x:c>
      <x:c r="B191" t="str">
        <x:f>'Catalogo Ferramenta'!B191</x:f>
        <x:v>5054905337087</x:v>
      </x:c>
      <x:c r="C191" t="str">
        <x:f>'Catalogo Ferramenta'!C191</x:f>
        <x:v>BLCR78N-XJ</x:v>
      </x:c>
      <x:c r="D191" t="str">
        <x:f>'Catalogo Ferramenta'!D191</x:f>
        <x:v>Sega universale brushless (solo corpo macchina)</x:v>
      </x:c>
      <x:c r="E191" t="str">
        <x:f>'Catalogo Ferramenta'!E191</x:f>
        <x:v>BLACK+DECKER</x:v>
      </x:c>
      <x:c r="F191" t="str">
        <x:f>'Catalogo Ferramenta'!F191</x:f>
        <x:v>ELETTROUTENSILI</x:v>
      </x:c>
      <x:c r="G191" t="str">
        <x:f>'Catalogo Ferramenta'!G191</x:f>
        <x:v>UTENSILI PER TAGLIARE</x:v>
      </x:c>
      <x:c r="H191" s="12" t="n">
        <x:f>IF('Catalogo Ferramenta'!H191="",0,'Catalogo Ferramenta'!H191)</x:f>
        <x:v>66.4</x:v>
      </x:c>
      <x:c r="I191" s="12" t="n">
        <x:f>IF('Catalogo Ferramenta'!I191="",0,'Catalogo Ferramenta'!I191)</x:f>
        <x:v>81</x:v>
      </x:c>
      <x:c r="J191" s="14" t="n">
        <x:f>IF('Catalogo Ferramenta'!J191="",22,'Catalogo Ferramenta'!J191)</x:f>
        <x:v>22</x:v>
      </x:c>
      <x:c r="K191" s="14" t="n">
        <x:f>IF('Catalogo Ferramenta'!K191="",0,'Catalogo Ferramenta'!K191)</x:f>
        <x:v>0</x:v>
      </x:c>
      <x:c r="L191" s="14" t="n">
        <x:f>1</x:f>
        <x:v>1</x:v>
      </x:c>
      <x:c r="M191" t="n">
        <x:f>'Catalogo Ferramenta'!L191</x:f>
        <x:v>0</x:v>
      </x:c>
      <x:c r="N191" t="n">
        <x:f>'Catalogo Ferramenta'!M191</x:f>
        <x:v>0</x:v>
      </x:c>
      <x:c r="O191" t="str">
        <x:f>'Catalogo Ferramenta'!N191</x:f>
        <x:v>BLACK+DECKER</x:v>
      </x:c>
      <x:c r="P191" t="str">
        <x:f>'Catalogo Ferramenta'!P191</x:f>
        <x:v>Catalogo Black+Decker Lo Specialista 2026, pagina 35. Prezzi se presenti: raccomandati dal catalogo.</x:v>
      </x:c>
      <x:c r="Q191" s="14" t="n">
        <x:f>'Catalogo Ferramenta'!R191</x:f>
        <x:v>35</x:v>
      </x:c>
      <x:c r="R191" t="str">
        <x:f>'Catalogo Ferramenta'!S191</x:f>
        <x:v>B+D_CATALOGO Lo Specialista 2026.pdf</x:v>
      </x:c>
      <x:c r="S191" s="45" t="b">
        <x:f>AND(D191&lt;&gt;"",B191&lt;&gt;"")</x:f>
        <x:v>1</x:v>
      </x:c>
      <x:c r="T191" t="str">
        <x:f>TEXTJOIN("; ",TRUE,IF(D191="","manca nome",""),IF(B191="","manca barcode",""),IF(H191=0,"prezzo costo da compilare",""),IF(I191=0,"prezzo vendita da compilare",""),IF(K191=0,"quantità da compilare",""))</x:f>
        <x:v>quantità da compilare</x:v>
      </x:c>
    </x:row>
    <x:row r="192">
      <x:c r="A192" t="str">
        <x:f>'Catalogo Ferramenta'!A192</x:f>
        <x:v>BD-0191</x:v>
      </x:c>
      <x:c r="B192" t="str">
        <x:f>'Catalogo Ferramenta'!B192</x:f>
        <x:v>5054905337223</x:v>
      </x:c>
      <x:c r="C192" t="str">
        <x:f>'Catalogo Ferramenta'!C192</x:f>
        <x:v>BLCJS78E1-QW</x:v>
      </x:c>
      <x:c r="D192" t="str">
        <x:f>'Catalogo Ferramenta'!D192</x:f>
        <x:v>Seghetto alternativo ad azione pendolare brushless 18V 2.5Ah</x:v>
      </x:c>
      <x:c r="E192" t="str">
        <x:f>'Catalogo Ferramenta'!E192</x:f>
        <x:v>BLACK+DECKER</x:v>
      </x:c>
      <x:c r="F192" t="str">
        <x:f>'Catalogo Ferramenta'!F192</x:f>
        <x:v>ELETTROUTENSILI</x:v>
      </x:c>
      <x:c r="G192" t="str">
        <x:f>'Catalogo Ferramenta'!G192</x:f>
        <x:v>UTENSILI PER TAGLIARE</x:v>
      </x:c>
      <x:c r="H192" s="12" t="n">
        <x:f>IF('Catalogo Ferramenta'!H192="",0,'Catalogo Ferramenta'!H192)</x:f>
        <x:v>91</x:v>
      </x:c>
      <x:c r="I192" s="12" t="n">
        <x:f>IF('Catalogo Ferramenta'!I192="",0,'Catalogo Ferramenta'!I192)</x:f>
        <x:v>111</x:v>
      </x:c>
      <x:c r="J192" s="14" t="n">
        <x:f>IF('Catalogo Ferramenta'!J192="",22,'Catalogo Ferramenta'!J192)</x:f>
        <x:v>22</x:v>
      </x:c>
      <x:c r="K192" s="14" t="n">
        <x:f>IF('Catalogo Ferramenta'!K192="",0,'Catalogo Ferramenta'!K192)</x:f>
        <x:v>0</x:v>
      </x:c>
      <x:c r="L192" s="14" t="n">
        <x:f>1</x:f>
        <x:v>1</x:v>
      </x:c>
      <x:c r="M192" t="n">
        <x:f>'Catalogo Ferramenta'!L192</x:f>
        <x:v>0</x:v>
      </x:c>
      <x:c r="N192" t="n">
        <x:f>'Catalogo Ferramenta'!M192</x:f>
        <x:v>0</x:v>
      </x:c>
      <x:c r="O192" t="str">
        <x:f>'Catalogo Ferramenta'!N192</x:f>
        <x:v>BLACK+DECKER</x:v>
      </x:c>
      <x:c r="P192" t="str">
        <x:f>'Catalogo Ferramenta'!P192</x:f>
        <x:v>Catalogo Black+Decker Lo Specialista 2026, pagina 32. Prezzi se presenti: raccomandati dal catalogo.</x:v>
      </x:c>
      <x:c r="Q192" s="14" t="n">
        <x:f>'Catalogo Ferramenta'!R192</x:f>
        <x:v>32</x:v>
      </x:c>
      <x:c r="R192" t="str">
        <x:f>'Catalogo Ferramenta'!S192</x:f>
        <x:v>B+D_CATALOGO Lo Specialista 2026.pdf</x:v>
      </x:c>
      <x:c r="S192" s="45" t="b">
        <x:f>AND(D192&lt;&gt;"",B192&lt;&gt;"")</x:f>
        <x:v>1</x:v>
      </x:c>
      <x:c r="T192" t="str">
        <x:f>TEXTJOIN("; ",TRUE,IF(D192="","manca nome",""),IF(B192="","manca barcode",""),IF(H192=0,"prezzo costo da compilare",""),IF(I192=0,"prezzo vendita da compilare",""),IF(K192=0,"quantità da compilare",""))</x:f>
        <x:v>quantità da compilare</x:v>
      </x:c>
    </x:row>
    <x:row r="193">
      <x:c r="A193" t="str">
        <x:f>'Catalogo Ferramenta'!A193</x:f>
        <x:v>BD-0192</x:v>
      </x:c>
      <x:c r="B193" t="str">
        <x:f>'Catalogo Ferramenta'!B193</x:f>
        <x:v>5054905337254</x:v>
      </x:c>
      <x:c r="C193" t="str">
        <x:f>'Catalogo Ferramenta'!C193</x:f>
        <x:v>BLCJS78N-XJ</x:v>
      </x:c>
      <x:c r="D193" t="str">
        <x:f>'Catalogo Ferramenta'!D193</x:f>
        <x:v>Seghetto alternativo ad azione pendolare brushless (solo corpo macchina)</x:v>
      </x:c>
      <x:c r="E193" t="str">
        <x:f>'Catalogo Ferramenta'!E193</x:f>
        <x:v>BLACK+DECKER</x:v>
      </x:c>
      <x:c r="F193" t="str">
        <x:f>'Catalogo Ferramenta'!F193</x:f>
        <x:v>ELETTROUTENSILI</x:v>
      </x:c>
      <x:c r="G193" t="str">
        <x:f>'Catalogo Ferramenta'!G193</x:f>
        <x:v>UTENSILI PER TAGLIARE</x:v>
      </x:c>
      <x:c r="H193" s="12" t="n">
        <x:f>IF('Catalogo Ferramenta'!H193="",0,'Catalogo Ferramenta'!H193)</x:f>
        <x:v>65.9</x:v>
      </x:c>
      <x:c r="I193" s="12" t="n">
        <x:f>IF('Catalogo Ferramenta'!I193="",0,'Catalogo Ferramenta'!I193)</x:f>
        <x:v>80.4</x:v>
      </x:c>
      <x:c r="J193" s="14" t="n">
        <x:f>IF('Catalogo Ferramenta'!J193="",22,'Catalogo Ferramenta'!J193)</x:f>
        <x:v>22</x:v>
      </x:c>
      <x:c r="K193" s="14" t="n">
        <x:f>IF('Catalogo Ferramenta'!K193="",0,'Catalogo Ferramenta'!K193)</x:f>
        <x:v>0</x:v>
      </x:c>
      <x:c r="L193" s="14" t="n">
        <x:f>1</x:f>
        <x:v>1</x:v>
      </x:c>
      <x:c r="M193" t="n">
        <x:f>'Catalogo Ferramenta'!L193</x:f>
        <x:v>0</x:v>
      </x:c>
      <x:c r="N193" t="n">
        <x:f>'Catalogo Ferramenta'!M193</x:f>
        <x:v>0</x:v>
      </x:c>
      <x:c r="O193" t="str">
        <x:f>'Catalogo Ferramenta'!N193</x:f>
        <x:v>BLACK+DECKER</x:v>
      </x:c>
      <x:c r="P193" t="str">
        <x:f>'Catalogo Ferramenta'!P193</x:f>
        <x:v>Catalogo Black+Decker Lo Specialista 2026, pagina 32. Prezzi se presenti: raccomandati dal catalogo.</x:v>
      </x:c>
      <x:c r="Q193" s="14" t="n">
        <x:f>'Catalogo Ferramenta'!R193</x:f>
        <x:v>32</x:v>
      </x:c>
      <x:c r="R193" t="str">
        <x:f>'Catalogo Ferramenta'!S193</x:f>
        <x:v>B+D_CATALOGO Lo Specialista 2026.pdf</x:v>
      </x:c>
      <x:c r="S193" s="45" t="b">
        <x:f>AND(D193&lt;&gt;"",B193&lt;&gt;"")</x:f>
        <x:v>1</x:v>
      </x:c>
      <x:c r="T193" t="str">
        <x:f>TEXTJOIN("; ",TRUE,IF(D193="","manca nome",""),IF(B193="","manca barcode",""),IF(H193=0,"prezzo costo da compilare",""),IF(I193=0,"prezzo vendita da compilare",""),IF(K193=0,"quantità da compilare",""))</x:f>
        <x:v>quantità da compilare</x:v>
      </x:c>
    </x:row>
    <x:row r="194">
      <x:c r="A194" t="str">
        <x:f>'Catalogo Ferramenta'!A194</x:f>
        <x:v>BD-0193</x:v>
      </x:c>
      <x:c r="B194" t="str">
        <x:f>'Catalogo Ferramenta'!B194</x:f>
        <x:v>5035048846933</x:v>
      </x:c>
      <x:c r="C194" t="str">
        <x:f>'Catalogo Ferramenta'!C194</x:f>
        <x:v>BLIM78N-XJ</x:v>
      </x:c>
      <x:c r="D194" t="str">
        <x:f>'Catalogo Ferramenta'!D194</x:f>
        <x:v>Avvitatore a impulsi 1/4 brushless 18V 2.5Ah</x:v>
      </x:c>
      <x:c r="E194" t="str">
        <x:f>'Catalogo Ferramenta'!E194</x:f>
        <x:v>BLACK+DECKER</x:v>
      </x:c>
      <x:c r="F194" t="str">
        <x:f>'Catalogo Ferramenta'!F194</x:f>
        <x:v>ELETTROUTENSILI</x:v>
      </x:c>
      <x:c r="G194" t="str">
        <x:f>'Catalogo Ferramenta'!G194</x:f>
        <x:v>TRAPANI A BATTERIA</x:v>
      </x:c>
      <x:c r="H194" s="12" t="n">
        <x:f>IF('Catalogo Ferramenta'!H194="",0,'Catalogo Ferramenta'!H194)</x:f>
        <x:v>65.5</x:v>
      </x:c>
      <x:c r="I194" s="12" t="n">
        <x:f>IF('Catalogo Ferramenta'!I194="",0,'Catalogo Ferramenta'!I194)</x:f>
        <x:v>79.9</x:v>
      </x:c>
      <x:c r="J194" s="14" t="n">
        <x:f>IF('Catalogo Ferramenta'!J194="",22,'Catalogo Ferramenta'!J194)</x:f>
        <x:v>22</x:v>
      </x:c>
      <x:c r="K194" s="14" t="n">
        <x:f>IF('Catalogo Ferramenta'!K194="",0,'Catalogo Ferramenta'!K194)</x:f>
        <x:v>0</x:v>
      </x:c>
      <x:c r="L194" s="14" t="n">
        <x:f>1</x:f>
        <x:v>1</x:v>
      </x:c>
      <x:c r="M194" t="n">
        <x:f>'Catalogo Ferramenta'!L194</x:f>
        <x:v>0</x:v>
      </x:c>
      <x:c r="N194" t="n">
        <x:f>'Catalogo Ferramenta'!M194</x:f>
        <x:v>0</x:v>
      </x:c>
      <x:c r="O194" t="str">
        <x:f>'Catalogo Ferramenta'!N194</x:f>
        <x:v>BLACK+DECKER</x:v>
      </x:c>
      <x:c r="P194" t="str">
        <x:f>'Catalogo Ferramenta'!P194</x:f>
        <x:v>Catalogo Black+Decker Lo Specialista 2026, pagina 21. Prezzi se presenti: raccomandati dal catalogo.</x:v>
      </x:c>
      <x:c r="Q194" s="14" t="n">
        <x:f>'Catalogo Ferramenta'!R194</x:f>
        <x:v>21</x:v>
      </x:c>
      <x:c r="R194" t="str">
        <x:f>'Catalogo Ferramenta'!S194</x:f>
        <x:v>B+D_CATALOGO Lo Specialista 2026.pdf</x:v>
      </x:c>
      <x:c r="S194" s="45" t="b">
        <x:f>AND(D194&lt;&gt;"",B194&lt;&gt;"")</x:f>
        <x:v>1</x:v>
      </x:c>
      <x:c r="T194" t="str">
        <x:f>TEXTJOIN("; ",TRUE,IF(D194="","manca nome",""),IF(B194="","manca barcode",""),IF(H194=0,"prezzo costo da compilare",""),IF(I194=0,"prezzo vendita da compilare",""),IF(K194=0,"quantità da compilare",""))</x:f>
        <x:v>quantità da compilare</x:v>
      </x:c>
    </x:row>
    <x:row r="195">
      <x:c r="A195" t="str">
        <x:f>'Catalogo Ferramenta'!A195</x:f>
        <x:v>BD-0194</x:v>
      </x:c>
      <x:c r="B195" t="str">
        <x:f>'Catalogo Ferramenta'!B195</x:f>
        <x:v>5035048846957</x:v>
      </x:c>
      <x:c r="C195" t="str">
        <x:f>'Catalogo Ferramenta'!C195</x:f>
        <x:v>BLIM78E1K-QW</x:v>
      </x:c>
      <x:c r="D195" t="str">
        <x:f>'Catalogo Ferramenta'!D195</x:f>
        <x:v>Avvitatore a impulsi 1/4 brushless (solo corpo macchina)</x:v>
      </x:c>
      <x:c r="E195" t="str">
        <x:f>'Catalogo Ferramenta'!E195</x:f>
        <x:v>BLACK+DECKER</x:v>
      </x:c>
      <x:c r="F195" t="str">
        <x:f>'Catalogo Ferramenta'!F195</x:f>
        <x:v>ELETTROUTENSILI</x:v>
      </x:c>
      <x:c r="G195" t="str">
        <x:f>'Catalogo Ferramenta'!G195</x:f>
        <x:v>TRAPANI A BATTERIA</x:v>
      </x:c>
      <x:c r="H195" s="12" t="n">
        <x:f>IF('Catalogo Ferramenta'!H195="",0,'Catalogo Ferramenta'!H195)</x:f>
        <x:v>92.6</x:v>
      </x:c>
      <x:c r="I195" s="12" t="n">
        <x:f>IF('Catalogo Ferramenta'!I195="",0,'Catalogo Ferramenta'!I195)</x:f>
        <x:v>113</x:v>
      </x:c>
      <x:c r="J195" s="14" t="n">
        <x:f>IF('Catalogo Ferramenta'!J195="",22,'Catalogo Ferramenta'!J195)</x:f>
        <x:v>22</x:v>
      </x:c>
      <x:c r="K195" s="14" t="n">
        <x:f>IF('Catalogo Ferramenta'!K195="",0,'Catalogo Ferramenta'!K195)</x:f>
        <x:v>0</x:v>
      </x:c>
      <x:c r="L195" s="14" t="n">
        <x:f>1</x:f>
        <x:v>1</x:v>
      </x:c>
      <x:c r="M195" t="n">
        <x:f>'Catalogo Ferramenta'!L195</x:f>
        <x:v>0</x:v>
      </x:c>
      <x:c r="N195" t="n">
        <x:f>'Catalogo Ferramenta'!M195</x:f>
        <x:v>0</x:v>
      </x:c>
      <x:c r="O195" t="str">
        <x:f>'Catalogo Ferramenta'!N195</x:f>
        <x:v>BLACK+DECKER</x:v>
      </x:c>
      <x:c r="P195" t="str">
        <x:f>'Catalogo Ferramenta'!P195</x:f>
        <x:v>Catalogo Black+Decker Lo Specialista 2026, pagina 21. Prezzi se presenti: raccomandati dal catalogo.</x:v>
      </x:c>
      <x:c r="Q195" s="14" t="n">
        <x:f>'Catalogo Ferramenta'!R195</x:f>
        <x:v>21</x:v>
      </x:c>
      <x:c r="R195" t="str">
        <x:f>'Catalogo Ferramenta'!S195</x:f>
        <x:v>B+D_CATALOGO Lo Specialista 2026.pdf</x:v>
      </x:c>
      <x:c r="S195" s="45" t="b">
        <x:f>AND(D195&lt;&gt;"",B195&lt;&gt;"")</x:f>
        <x:v>1</x:v>
      </x:c>
      <x:c r="T195" t="str">
        <x:f>TEXTJOIN("; ",TRUE,IF(D195="","manca nome",""),IF(B195="","manca barcode",""),IF(H195=0,"prezzo costo da compilare",""),IF(I195=0,"prezzo vendita da compilare",""),IF(K195=0,"quantità da compilare",""))</x:f>
        <x:v>quantità da compilare</x:v>
      </x:c>
    </x:row>
    <x:row r="196">
      <x:c r="A196" t="str">
        <x:f>'Catalogo Ferramenta'!A196</x:f>
        <x:v>BD-0195</x:v>
      </x:c>
      <x:c r="B196" t="str">
        <x:f>'Catalogo Ferramenta'!B196</x:f>
        <x:v>5035048846735</x:v>
      </x:c>
      <x:c r="C196" t="str">
        <x:f>'Catalogo Ferramenta'!C196</x:f>
        <x:v>BLD782E1K-QW</x:v>
      </x:c>
      <x:c r="D196" t="str">
        <x:f>'Catalogo Ferramenta'!D196</x:f>
        <x:v>Trapano avvitatore brushless 18V 2.5Ah</x:v>
      </x:c>
      <x:c r="E196" t="str">
        <x:f>'Catalogo Ferramenta'!E196</x:f>
        <x:v>BLACK+DECKER</x:v>
      </x:c>
      <x:c r="F196" t="str">
        <x:f>'Catalogo Ferramenta'!F196</x:f>
        <x:v>ELETTROUTENSILI</x:v>
      </x:c>
      <x:c r="G196" t="str">
        <x:f>'Catalogo Ferramenta'!G196</x:f>
        <x:v>TRAPANI A BATTERIA</x:v>
      </x:c>
      <x:c r="H196" s="12" t="n">
        <x:f>IF('Catalogo Ferramenta'!H196="",0,'Catalogo Ferramenta'!H196)</x:f>
        <x:v>74.5</x:v>
      </x:c>
      <x:c r="I196" s="12" t="n">
        <x:f>IF('Catalogo Ferramenta'!I196="",0,'Catalogo Ferramenta'!I196)</x:f>
        <x:v>90.9</x:v>
      </x:c>
      <x:c r="J196" s="14" t="n">
        <x:f>IF('Catalogo Ferramenta'!J196="",22,'Catalogo Ferramenta'!J196)</x:f>
        <x:v>22</x:v>
      </x:c>
      <x:c r="K196" s="14" t="n">
        <x:f>IF('Catalogo Ferramenta'!K196="",0,'Catalogo Ferramenta'!K196)</x:f>
        <x:v>0</x:v>
      </x:c>
      <x:c r="L196" s="14" t="n">
        <x:f>1</x:f>
        <x:v>1</x:v>
      </x:c>
      <x:c r="M196" t="n">
        <x:f>'Catalogo Ferramenta'!L196</x:f>
        <x:v>0</x:v>
      </x:c>
      <x:c r="N196" t="n">
        <x:f>'Catalogo Ferramenta'!M196</x:f>
        <x:v>0</x:v>
      </x:c>
      <x:c r="O196" t="str">
        <x:f>'Catalogo Ferramenta'!N196</x:f>
        <x:v>BLACK+DECKER</x:v>
      </x:c>
      <x:c r="P196" t="str">
        <x:f>'Catalogo Ferramenta'!P196</x:f>
        <x:v>Catalogo Black+Decker Lo Specialista 2026, pagina 19. Prezzi se presenti: raccomandati dal catalogo.</x:v>
      </x:c>
      <x:c r="Q196" s="14" t="n">
        <x:f>'Catalogo Ferramenta'!R196</x:f>
        <x:v>19</x:v>
      </x:c>
      <x:c r="R196" t="str">
        <x:f>'Catalogo Ferramenta'!S196</x:f>
        <x:v>B+D_CATALOGO Lo Specialista 2026.pdf</x:v>
      </x:c>
      <x:c r="S196" s="45" t="b">
        <x:f>AND(D196&lt;&gt;"",B196&lt;&gt;"")</x:f>
        <x:v>1</x:v>
      </x:c>
      <x:c r="T196" t="str">
        <x:f>TEXTJOIN("; ",TRUE,IF(D196="","manca nome",""),IF(B196="","manca barcode",""),IF(H196=0,"prezzo costo da compilare",""),IF(I196=0,"prezzo vendita da compilare",""),IF(K196=0,"quantità da compilare",""))</x:f>
        <x:v>quantità da compilare</x:v>
      </x:c>
    </x:row>
    <x:row r="197">
      <x:c r="A197" t="str">
        <x:f>'Catalogo Ferramenta'!A197</x:f>
        <x:v>BD-0196</x:v>
      </x:c>
      <x:c r="B197" t="str">
        <x:f>'Catalogo Ferramenta'!B197</x:f>
        <x:v>5035048846766</x:v>
      </x:c>
      <x:c r="C197" t="str">
        <x:f>'Catalogo Ferramenta'!C197</x:f>
        <x:v>BLD782E2K-QW</x:v>
      </x:c>
      <x:c r="D197" t="str">
        <x:f>'Catalogo Ferramenta'!D197</x:f>
        <x:v>Trapano avvitatore brushless 2x18V 2.5Ah</x:v>
      </x:c>
      <x:c r="E197" t="str">
        <x:f>'Catalogo Ferramenta'!E197</x:f>
        <x:v>BLACK+DECKER</x:v>
      </x:c>
      <x:c r="F197" t="str">
        <x:f>'Catalogo Ferramenta'!F197</x:f>
        <x:v>ELETTROUTENSILI</x:v>
      </x:c>
      <x:c r="G197" t="str">
        <x:f>'Catalogo Ferramenta'!G197</x:f>
        <x:v>TRAPANI A BATTERIA</x:v>
      </x:c>
      <x:c r="H197" s="12" t="n">
        <x:f>IF('Catalogo Ferramenta'!H197="",0,'Catalogo Ferramenta'!H197)</x:f>
        <x:v>100.1</x:v>
      </x:c>
      <x:c r="I197" s="12" t="n">
        <x:f>IF('Catalogo Ferramenta'!I197="",0,'Catalogo Ferramenta'!I197)</x:f>
        <x:v>122.1</x:v>
      </x:c>
      <x:c r="J197" s="14" t="n">
        <x:f>IF('Catalogo Ferramenta'!J197="",22,'Catalogo Ferramenta'!J197)</x:f>
        <x:v>22</x:v>
      </x:c>
      <x:c r="K197" s="14" t="n">
        <x:f>IF('Catalogo Ferramenta'!K197="",0,'Catalogo Ferramenta'!K197)</x:f>
        <x:v>0</x:v>
      </x:c>
      <x:c r="L197" s="14" t="n">
        <x:f>1</x:f>
        <x:v>1</x:v>
      </x:c>
      <x:c r="M197" t="n">
        <x:f>'Catalogo Ferramenta'!L197</x:f>
        <x:v>0</x:v>
      </x:c>
      <x:c r="N197" t="n">
        <x:f>'Catalogo Ferramenta'!M197</x:f>
        <x:v>0</x:v>
      </x:c>
      <x:c r="O197" t="str">
        <x:f>'Catalogo Ferramenta'!N197</x:f>
        <x:v>BLACK+DECKER</x:v>
      </x:c>
      <x:c r="P197" t="str">
        <x:f>'Catalogo Ferramenta'!P197</x:f>
        <x:v>Catalogo Black+Decker Lo Specialista 2026, pagina 19. Prezzi se presenti: raccomandati dal catalogo.</x:v>
      </x:c>
      <x:c r="Q197" s="14" t="n">
        <x:f>'Catalogo Ferramenta'!R197</x:f>
        <x:v>19</x:v>
      </x:c>
      <x:c r="R197" t="str">
        <x:f>'Catalogo Ferramenta'!S197</x:f>
        <x:v>B+D_CATALOGO Lo Specialista 2026.pdf</x:v>
      </x:c>
      <x:c r="S197" s="45" t="b">
        <x:f>AND(D197&lt;&gt;"",B197&lt;&gt;"")</x:f>
        <x:v>1</x:v>
      </x:c>
      <x:c r="T197" t="str">
        <x:f>TEXTJOIN("; ",TRUE,IF(D197="","manca nome",""),IF(B197="","manca barcode",""),IF(H197=0,"prezzo costo da compilare",""),IF(I197=0,"prezzo vendita da compilare",""),IF(K197=0,"quantità da compilare",""))</x:f>
        <x:v>quantità da compilare</x:v>
      </x:c>
    </x:row>
    <x:row r="198">
      <x:c r="A198" t="str">
        <x:f>'Catalogo Ferramenta'!A198</x:f>
        <x:v>BD-0197</x:v>
      </x:c>
      <x:c r="B198" t="str">
        <x:f>'Catalogo Ferramenta'!B198</x:f>
        <x:v>5035048846704</x:v>
      </x:c>
      <x:c r="C198" t="str">
        <x:f>'Catalogo Ferramenta'!C198</x:f>
        <x:v>BLD782N-XJ</x:v>
      </x:c>
      <x:c r="D198" t="str">
        <x:f>'Catalogo Ferramenta'!D198</x:f>
        <x:v>Trapano avvitatore brushless (solo corpo macchina)</x:v>
      </x:c>
      <x:c r="E198" t="str">
        <x:f>'Catalogo Ferramenta'!E198</x:f>
        <x:v>BLACK+DECKER</x:v>
      </x:c>
      <x:c r="F198" t="str">
        <x:f>'Catalogo Ferramenta'!F198</x:f>
        <x:v>ELETTROUTENSILI</x:v>
      </x:c>
      <x:c r="G198" t="str">
        <x:f>'Catalogo Ferramenta'!G198</x:f>
        <x:v>TRAPANI A BATTERIA</x:v>
      </x:c>
      <x:c r="H198" s="12" t="n">
        <x:f>IF('Catalogo Ferramenta'!H198="",0,'Catalogo Ferramenta'!H198)</x:f>
        <x:v>54.5</x:v>
      </x:c>
      <x:c r="I198" s="12" t="n">
        <x:f>IF('Catalogo Ferramenta'!I198="",0,'Catalogo Ferramenta'!I198)</x:f>
        <x:v>65.9</x:v>
      </x:c>
      <x:c r="J198" s="14" t="n">
        <x:f>IF('Catalogo Ferramenta'!J198="",22,'Catalogo Ferramenta'!J198)</x:f>
        <x:v>22</x:v>
      </x:c>
      <x:c r="K198" s="14" t="n">
        <x:f>IF('Catalogo Ferramenta'!K198="",0,'Catalogo Ferramenta'!K198)</x:f>
        <x:v>0</x:v>
      </x:c>
      <x:c r="L198" s="14" t="n">
        <x:f>1</x:f>
        <x:v>1</x:v>
      </x:c>
      <x:c r="M198" t="n">
        <x:f>'Catalogo Ferramenta'!L198</x:f>
        <x:v>0</x:v>
      </x:c>
      <x:c r="N198" t="n">
        <x:f>'Catalogo Ferramenta'!M198</x:f>
        <x:v>0</x:v>
      </x:c>
      <x:c r="O198" t="str">
        <x:f>'Catalogo Ferramenta'!N198</x:f>
        <x:v>BLACK+DECKER</x:v>
      </x:c>
      <x:c r="P198" t="str">
        <x:f>'Catalogo Ferramenta'!P198</x:f>
        <x:v>Catalogo Black+Decker Lo Specialista 2026, pagina 19. Prezzi se presenti: raccomandati dal catalogo.</x:v>
      </x:c>
      <x:c r="Q198" s="14" t="n">
        <x:f>'Catalogo Ferramenta'!R198</x:f>
        <x:v>19</x:v>
      </x:c>
      <x:c r="R198" t="str">
        <x:f>'Catalogo Ferramenta'!S198</x:f>
        <x:v>B+D_CATALOGO Lo Specialista 2026.pdf</x:v>
      </x:c>
      <x:c r="S198" s="45" t="b">
        <x:f>AND(D198&lt;&gt;"",B198&lt;&gt;"")</x:f>
        <x:v>1</x:v>
      </x:c>
      <x:c r="T198" t="str">
        <x:f>TEXTJOIN("; ",TRUE,IF(D198="","manca nome",""),IF(B198="","manca barcode",""),IF(H198=0,"prezzo costo da compilare",""),IF(I198=0,"prezzo vendita da compilare",""),IF(K198=0,"quantità da compilare",""))</x:f>
        <x:v>quantità da compilare</x:v>
      </x:c>
    </x:row>
    <x:row r="199">
      <x:c r="A199" t="str">
        <x:f>'Catalogo Ferramenta'!A199</x:f>
        <x:v>BD-0198</x:v>
      </x:c>
      <x:c r="B199" t="str">
        <x:f>'Catalogo Ferramenta'!B199</x:f>
        <x:v>5035048846872</x:v>
      </x:c>
      <x:c r="C199" t="str">
        <x:f>'Catalogo Ferramenta'!C199</x:f>
        <x:v>BLD783E1K-QW</x:v>
      </x:c>
      <x:c r="D199" t="str">
        <x:f>'Catalogo Ferramenta'!D199</x:f>
        <x:v>Trapano avvitatore a percussione brushless 18V 2.5Ah</x:v>
      </x:c>
      <x:c r="E199" t="str">
        <x:f>'Catalogo Ferramenta'!E199</x:f>
        <x:v>BLACK+DECKER</x:v>
      </x:c>
      <x:c r="F199" t="str">
        <x:f>'Catalogo Ferramenta'!F199</x:f>
        <x:v>ELETTROUTENSILI</x:v>
      </x:c>
      <x:c r="G199" t="str">
        <x:f>'Catalogo Ferramenta'!G199</x:f>
        <x:v>TRAPANI A BATTERIA</x:v>
      </x:c>
      <x:c r="H199" s="12" t="n">
        <x:f>IF('Catalogo Ferramenta'!H199="",0,'Catalogo Ferramenta'!H199)</x:f>
        <x:v>82.9</x:v>
      </x:c>
      <x:c r="I199" s="12" t="n">
        <x:f>IF('Catalogo Ferramenta'!I199="",0,'Catalogo Ferramenta'!I199)</x:f>
        <x:v>101.1</x:v>
      </x:c>
      <x:c r="J199" s="14" t="n">
        <x:f>IF('Catalogo Ferramenta'!J199="",22,'Catalogo Ferramenta'!J199)</x:f>
        <x:v>22</x:v>
      </x:c>
      <x:c r="K199" s="14" t="n">
        <x:f>IF('Catalogo Ferramenta'!K199="",0,'Catalogo Ferramenta'!K199)</x:f>
        <x:v>0</x:v>
      </x:c>
      <x:c r="L199" s="14" t="n">
        <x:f>1</x:f>
        <x:v>1</x:v>
      </x:c>
      <x:c r="M199" t="n">
        <x:f>'Catalogo Ferramenta'!L199</x:f>
        <x:v>0</x:v>
      </x:c>
      <x:c r="N199" t="n">
        <x:f>'Catalogo Ferramenta'!M199</x:f>
        <x:v>0</x:v>
      </x:c>
      <x:c r="O199" t="str">
        <x:f>'Catalogo Ferramenta'!N199</x:f>
        <x:v>BLACK+DECKER</x:v>
      </x:c>
      <x:c r="P199" t="str">
        <x:f>'Catalogo Ferramenta'!P199</x:f>
        <x:v>Catalogo Black+Decker Lo Specialista 2026, pagina 20. Prezzi se presenti: raccomandati dal catalogo.</x:v>
      </x:c>
      <x:c r="Q199" s="14" t="n">
        <x:f>'Catalogo Ferramenta'!R199</x:f>
        <x:v>20</x:v>
      </x:c>
      <x:c r="R199" t="str">
        <x:f>'Catalogo Ferramenta'!S199</x:f>
        <x:v>B+D_CATALOGO Lo Specialista 2026.pdf</x:v>
      </x:c>
      <x:c r="S199" s="45" t="b">
        <x:f>AND(D199&lt;&gt;"",B199&lt;&gt;"")</x:f>
        <x:v>1</x:v>
      </x:c>
      <x:c r="T199" t="str">
        <x:f>TEXTJOIN("; ",TRUE,IF(D199="","manca nome",""),IF(B199="","manca barcode",""),IF(H199=0,"prezzo costo da compilare",""),IF(I199=0,"prezzo vendita da compilare",""),IF(K199=0,"quantità da compilare",""))</x:f>
        <x:v>quantità da compilare</x:v>
      </x:c>
    </x:row>
    <x:row r="200">
      <x:c r="A200" t="str">
        <x:f>'Catalogo Ferramenta'!A200</x:f>
        <x:v>BD-0199</x:v>
      </x:c>
      <x:c r="B200" t="str">
        <x:f>'Catalogo Ferramenta'!B200</x:f>
        <x:v>5035048846902</x:v>
      </x:c>
      <x:c r="C200" t="str">
        <x:f>'Catalogo Ferramenta'!C200</x:f>
        <x:v>BLD783E2K-QW</x:v>
      </x:c>
      <x:c r="D200" t="str">
        <x:f>'Catalogo Ferramenta'!D200</x:f>
        <x:v>Trapano avvitatore a percussione brushless 2x18V 2.5Ah</x:v>
      </x:c>
      <x:c r="E200" t="str">
        <x:f>'Catalogo Ferramenta'!E200</x:f>
        <x:v>BLACK+DECKER</x:v>
      </x:c>
      <x:c r="F200" t="str">
        <x:f>'Catalogo Ferramenta'!F200</x:f>
        <x:v>ELETTROUTENSILI</x:v>
      </x:c>
      <x:c r="G200" t="str">
        <x:f>'Catalogo Ferramenta'!G200</x:f>
        <x:v>TRAPANI A BATTERIA</x:v>
      </x:c>
      <x:c r="H200" s="12" t="n">
        <x:f>IF('Catalogo Ferramenta'!H200="",0,'Catalogo Ferramenta'!H200)</x:f>
        <x:v>107.5</x:v>
      </x:c>
      <x:c r="I200" s="12" t="n">
        <x:f>IF('Catalogo Ferramenta'!I200="",0,'Catalogo Ferramenta'!I200)</x:f>
        <x:v>131.2</x:v>
      </x:c>
      <x:c r="J200" s="14" t="n">
        <x:f>IF('Catalogo Ferramenta'!J200="",22,'Catalogo Ferramenta'!J200)</x:f>
        <x:v>22</x:v>
      </x:c>
      <x:c r="K200" s="14" t="n">
        <x:f>IF('Catalogo Ferramenta'!K200="",0,'Catalogo Ferramenta'!K200)</x:f>
        <x:v>0</x:v>
      </x:c>
      <x:c r="L200" s="14" t="n">
        <x:f>1</x:f>
        <x:v>1</x:v>
      </x:c>
      <x:c r="M200" t="n">
        <x:f>'Catalogo Ferramenta'!L200</x:f>
        <x:v>0</x:v>
      </x:c>
      <x:c r="N200" t="n">
        <x:f>'Catalogo Ferramenta'!M200</x:f>
        <x:v>0</x:v>
      </x:c>
      <x:c r="O200" t="str">
        <x:f>'Catalogo Ferramenta'!N200</x:f>
        <x:v>BLACK+DECKER</x:v>
      </x:c>
      <x:c r="P200" t="str">
        <x:f>'Catalogo Ferramenta'!P200</x:f>
        <x:v>Catalogo Black+Decker Lo Specialista 2026, pagina 20. Prezzi se presenti: raccomandati dal catalogo.</x:v>
      </x:c>
      <x:c r="Q200" s="14" t="n">
        <x:f>'Catalogo Ferramenta'!R200</x:f>
        <x:v>20</x:v>
      </x:c>
      <x:c r="R200" t="str">
        <x:f>'Catalogo Ferramenta'!S200</x:f>
        <x:v>B+D_CATALOGO Lo Specialista 2026.pdf</x:v>
      </x:c>
      <x:c r="S200" s="45" t="b">
        <x:f>AND(D200&lt;&gt;"",B200&lt;&gt;"")</x:f>
        <x:v>1</x:v>
      </x:c>
      <x:c r="T200" t="str">
        <x:f>TEXTJOIN("; ",TRUE,IF(D200="","manca nome",""),IF(B200="","manca barcode",""),IF(H200=0,"prezzo costo da compilare",""),IF(I200=0,"prezzo vendita da compilare",""),IF(K200=0,"quantità da compilare",""))</x:f>
        <x:v>quantità da compilare</x:v>
      </x:c>
    </x:row>
    <x:row r="201">
      <x:c r="A201" t="str">
        <x:f>'Catalogo Ferramenta'!A201</x:f>
        <x:v>BD-0200</x:v>
      </x:c>
      <x:c r="B201" t="str">
        <x:f>'Catalogo Ferramenta'!B201</x:f>
        <x:v>5035048846841</x:v>
      </x:c>
      <x:c r="C201" t="str">
        <x:f>'Catalogo Ferramenta'!C201</x:f>
        <x:v>BLD783N-XJ</x:v>
      </x:c>
      <x:c r="D201" t="str">
        <x:f>'Catalogo Ferramenta'!D201</x:f>
        <x:v>Trapano avvitatore a percussione brushless (solo corpo macchina)</x:v>
      </x:c>
      <x:c r="E201" t="str">
        <x:f>'Catalogo Ferramenta'!E201</x:f>
        <x:v>BLACK+DECKER</x:v>
      </x:c>
      <x:c r="F201" t="str">
        <x:f>'Catalogo Ferramenta'!F201</x:f>
        <x:v>ELETTROUTENSILI</x:v>
      </x:c>
      <x:c r="G201" t="str">
        <x:f>'Catalogo Ferramenta'!G201</x:f>
        <x:v>TRAPANI A BATTERIA</x:v>
      </x:c>
      <x:c r="H201" s="12" t="n">
        <x:f>IF('Catalogo Ferramenta'!H201="",0,'Catalogo Ferramenta'!H201)</x:f>
        <x:v>57.3</x:v>
      </x:c>
      <x:c r="I201" s="12" t="n">
        <x:f>IF('Catalogo Ferramenta'!I201="",0,'Catalogo Ferramenta'!I201)</x:f>
        <x:v>69.9</x:v>
      </x:c>
      <x:c r="J201" s="14" t="n">
        <x:f>IF('Catalogo Ferramenta'!J201="",22,'Catalogo Ferramenta'!J201)</x:f>
        <x:v>22</x:v>
      </x:c>
      <x:c r="K201" s="14" t="n">
        <x:f>IF('Catalogo Ferramenta'!K201="",0,'Catalogo Ferramenta'!K201)</x:f>
        <x:v>0</x:v>
      </x:c>
      <x:c r="L201" s="14" t="n">
        <x:f>1</x:f>
        <x:v>1</x:v>
      </x:c>
      <x:c r="M201" t="n">
        <x:f>'Catalogo Ferramenta'!L201</x:f>
        <x:v>0</x:v>
      </x:c>
      <x:c r="N201" t="n">
        <x:f>'Catalogo Ferramenta'!M201</x:f>
        <x:v>0</x:v>
      </x:c>
      <x:c r="O201" t="str">
        <x:f>'Catalogo Ferramenta'!N201</x:f>
        <x:v>BLACK+DECKER</x:v>
      </x:c>
      <x:c r="P201" t="str">
        <x:f>'Catalogo Ferramenta'!P201</x:f>
        <x:v>Catalogo Black+Decker Lo Specialista 2026, pagina 20. Prezzi se presenti: raccomandati dal catalogo.</x:v>
      </x:c>
      <x:c r="Q201" s="14" t="n">
        <x:f>'Catalogo Ferramenta'!R201</x:f>
        <x:v>20</x:v>
      </x:c>
      <x:c r="R201" t="str">
        <x:f>'Catalogo Ferramenta'!S201</x:f>
        <x:v>B+D_CATALOGO Lo Specialista 2026.pdf</x:v>
      </x:c>
      <x:c r="S201" s="45" t="b">
        <x:f>AND(D201&lt;&gt;"",B201&lt;&gt;"")</x:f>
        <x:v>1</x:v>
      </x:c>
      <x:c r="T201" t="str">
        <x:f>TEXTJOIN("; ",TRUE,IF(D201="","manca nome",""),IF(B201="","manca barcode",""),IF(H201=0,"prezzo costo da compilare",""),IF(I201=0,"prezzo vendita da compilare",""),IF(K201=0,"quantità da compilare",""))</x:f>
        <x:v>quantità da compilare</x:v>
      </x:c>
    </x:row>
    <x:row r="202">
      <x:c r="A202" t="str">
        <x:f>'Catalogo Ferramenta'!A202</x:f>
        <x:v>BD-0201</x:v>
      </x:c>
      <x:c r="B202" t="str">
        <x:f>'Catalogo Ferramenta'!B202</x:f>
        <x:v>5035048715406</x:v>
      </x:c>
      <x:c r="C202" t="str">
        <x:f>'Catalogo Ferramenta'!C202</x:f>
        <x:v>BSV520BRB-QW</x:v>
      </x:c>
      <x:c r="D202" t="str">
        <x:f>'Catalogo Ferramenta'!D202</x:f>
        <x:v>Scopa ricaricabile 18V Premier</x:v>
      </x:c>
      <x:c r="E202" t="str">
        <x:f>'Catalogo Ferramenta'!E202</x:f>
        <x:v>BLACK+DECKER</x:v>
      </x:c>
      <x:c r="F202" t="str">
        <x:f>'Catalogo Ferramenta'!F202</x:f>
        <x:v>CURA DELLA CASA</x:v>
      </x:c>
      <x:c r="G202" t="str">
        <x:f>'Catalogo Ferramenta'!G202</x:f>
        <x:v>CURA DELLA CASA</x:v>
      </x:c>
      <x:c r="H202" s="12" t="n">
        <x:f>IF('Catalogo Ferramenta'!H202="",0,'Catalogo Ferramenta'!H202)</x:f>
        <x:v>172.1</x:v>
      </x:c>
      <x:c r="I202" s="12" t="n">
        <x:f>IF('Catalogo Ferramenta'!I202="",0,'Catalogo Ferramenta'!I202)</x:f>
        <x:v>209.9</x:v>
      </x:c>
      <x:c r="J202" s="14" t="n">
        <x:f>IF('Catalogo Ferramenta'!J202="",22,'Catalogo Ferramenta'!J202)</x:f>
        <x:v>22</x:v>
      </x:c>
      <x:c r="K202" s="14" t="n">
        <x:f>IF('Catalogo Ferramenta'!K202="",0,'Catalogo Ferramenta'!K202)</x:f>
        <x:v>0</x:v>
      </x:c>
      <x:c r="L202" s="14" t="n">
        <x:f>1</x:f>
        <x:v>1</x:v>
      </x:c>
      <x:c r="M202" t="n">
        <x:f>'Catalogo Ferramenta'!L202</x:f>
        <x:v>0</x:v>
      </x:c>
      <x:c r="N202" t="n">
        <x:f>'Catalogo Ferramenta'!M202</x:f>
        <x:v>0</x:v>
      </x:c>
      <x:c r="O202" t="str">
        <x:f>'Catalogo Ferramenta'!N202</x:f>
        <x:v>BLACK+DECKER</x:v>
      </x:c>
      <x:c r="P202" t="str">
        <x:f>'Catalogo Ferramenta'!P202</x:f>
        <x:v>Catalogo Black+Decker Lo Specialista 2026, pagina 122. Prezzi se presenti: raccomandati dal catalogo.</x:v>
      </x:c>
      <x:c r="Q202" s="14" t="n">
        <x:f>'Catalogo Ferramenta'!R202</x:f>
        <x:v>122</x:v>
      </x:c>
      <x:c r="R202" t="str">
        <x:f>'Catalogo Ferramenta'!S202</x:f>
        <x:v>B+D_CATALOGO Lo Specialista 2026.pdf</x:v>
      </x:c>
      <x:c r="S202" s="45" t="b">
        <x:f>AND(D202&lt;&gt;"",B202&lt;&gt;"")</x:f>
        <x:v>1</x:v>
      </x:c>
      <x:c r="T202" t="str">
        <x:f>TEXTJOIN("; ",TRUE,IF(D202="","manca nome",""),IF(B202="","manca barcode",""),IF(H202=0,"prezzo costo da compilare",""),IF(I202=0,"prezzo vendita da compilare",""),IF(K202=0,"quantità da compilare",""))</x:f>
        <x:v>quantità da compilare</x:v>
      </x:c>
    </x:row>
    <x:row r="203">
      <x:c r="A203" t="str">
        <x:f>'Catalogo Ferramenta'!A203</x:f>
        <x:v>BD-0202</x:v>
      </x:c>
      <x:c r="B203" t="str">
        <x:f>'Catalogo Ferramenta'!B203</x:f>
        <x:v>5035048741306</x:v>
      </x:c>
      <x:c r="C203" t="str">
        <x:f>'Catalogo Ferramenta'!C203</x:f>
        <x:v>BZO51N1-XJ</x:v>
      </x:c>
      <x:c r="D203" t="str">
        <x:f>'Catalogo Ferramenta'!D203</x:f>
        <x:v>Ugello 5 in 1</x:v>
      </x:c>
      <x:c r="E203" t="str">
        <x:f>'Catalogo Ferramenta'!E203</x:f>
        <x:v>BLACK+DECKER</x:v>
      </x:c>
      <x:c r="F203" t="str">
        <x:f>'Catalogo Ferramenta'!F203</x:f>
        <x:v>GAMMA GIARDINO</x:v>
      </x:c>
      <x:c r="G203" t="str">
        <x:f>'Catalogo Ferramenta'!G203</x:f>
        <x:v>ACCESSORI GIARDINO</x:v>
      </x:c>
      <x:c r="H203" s="12" t="n">
        <x:f>IF('Catalogo Ferramenta'!H203="",0,'Catalogo Ferramenta'!H203)</x:f>
        <x:v>0</x:v>
      </x:c>
      <x:c r="I203" s="12" t="n">
        <x:f>IF('Catalogo Ferramenta'!I203="",0,'Catalogo Ferramenta'!I203)</x:f>
        <x:v>0</x:v>
      </x:c>
      <x:c r="J203" s="14" t="n">
        <x:f>IF('Catalogo Ferramenta'!J203="",22,'Catalogo Ferramenta'!J203)</x:f>
        <x:v>22</x:v>
      </x:c>
      <x:c r="K203" s="14" t="n">
        <x:f>IF('Catalogo Ferramenta'!K203="",0,'Catalogo Ferramenta'!K203)</x:f>
        <x:v>0</x:v>
      </x:c>
      <x:c r="L203" s="14" t="n">
        <x:f>1</x:f>
        <x:v>1</x:v>
      </x:c>
      <x:c r="M203" t="n">
        <x:f>'Catalogo Ferramenta'!L203</x:f>
        <x:v>0</x:v>
      </x:c>
      <x:c r="N203" t="n">
        <x:f>'Catalogo Ferramenta'!M203</x:f>
        <x:v>0</x:v>
      </x:c>
      <x:c r="O203" t="str">
        <x:f>'Catalogo Ferramenta'!N203</x:f>
        <x:v>BLACK+DECKER</x:v>
      </x:c>
      <x:c r="P203" t="str">
        <x:f>'Catalogo Ferramenta'!P203</x:f>
        <x:v>Catalogo Black+Decker Lo Specialista 2026, pagina 120. Prezzi se presenti: raccomandati dal catalogo.</x:v>
      </x:c>
      <x:c r="Q203" s="14" t="n">
        <x:f>'Catalogo Ferramenta'!R203</x:f>
        <x:v>120</x:v>
      </x:c>
      <x:c r="R203" t="str">
        <x:f>'Catalogo Ferramenta'!S203</x:f>
        <x:v>B+D_CATALOGO Lo Specialista 2026.pdf</x:v>
      </x:c>
      <x:c r="S203" s="45" t="b">
        <x:f>AND(D203&lt;&gt;"",B203&lt;&gt;"")</x:f>
        <x:v>1</x:v>
      </x:c>
      <x:c r="T203" t="str">
        <x:f>TEXTJOIN("; ",TRUE,IF(D203="","manca nome",""),IF(B203="","manca barcode",""),IF(H203=0,"prezzo costo da compilare",""),IF(I203=0,"prezzo vendita da compilare",""),IF(K203=0,"quantità da compilare",""))</x:f>
        <x:v>prezzo costo da compilare; prezzo vendita da compilare; quantità da compilare</x:v>
      </x:c>
    </x:row>
    <x:row r="204">
      <x:c r="A204" t="str">
        <x:f>'Catalogo Ferramenta'!A204</x:f>
        <x:v>BD-0203</x:v>
      </x:c>
      <x:c r="B204" t="str">
        <x:f>'Catalogo Ferramenta'!B204</x:f>
        <x:v>5035048741320</x:v>
      </x:c>
      <x:c r="C204" t="str">
        <x:f>'Catalogo Ferramenta'!C204</x:f>
        <x:v>BZOB1-XJ</x:v>
      </x:c>
      <x:c r="D204" t="str">
        <x:f>'Catalogo Ferramenta'!D204</x:f>
        <x:v>Secchio</x:v>
      </x:c>
      <x:c r="E204" t="str">
        <x:f>'Catalogo Ferramenta'!E204</x:f>
        <x:v>BLACK+DECKER</x:v>
      </x:c>
      <x:c r="F204" t="str">
        <x:f>'Catalogo Ferramenta'!F204</x:f>
        <x:v>GAMMA GIARDINO</x:v>
      </x:c>
      <x:c r="G204" t="str">
        <x:f>'Catalogo Ferramenta'!G204</x:f>
        <x:v>ACCESSORI GIARDINO</x:v>
      </x:c>
      <x:c r="H204" s="12" t="n">
        <x:f>IF('Catalogo Ferramenta'!H204="",0,'Catalogo Ferramenta'!H204)</x:f>
        <x:v>0</x:v>
      </x:c>
      <x:c r="I204" s="12" t="n">
        <x:f>IF('Catalogo Ferramenta'!I204="",0,'Catalogo Ferramenta'!I204)</x:f>
        <x:v>0</x:v>
      </x:c>
      <x:c r="J204" s="14" t="n">
        <x:f>IF('Catalogo Ferramenta'!J204="",22,'Catalogo Ferramenta'!J204)</x:f>
        <x:v>22</x:v>
      </x:c>
      <x:c r="K204" s="14" t="n">
        <x:f>IF('Catalogo Ferramenta'!K204="",0,'Catalogo Ferramenta'!K204)</x:f>
        <x:v>0</x:v>
      </x:c>
      <x:c r="L204" s="14" t="n">
        <x:f>1</x:f>
        <x:v>1</x:v>
      </x:c>
      <x:c r="M204" t="n">
        <x:f>'Catalogo Ferramenta'!L204</x:f>
        <x:v>0</x:v>
      </x:c>
      <x:c r="N204" t="n">
        <x:f>'Catalogo Ferramenta'!M204</x:f>
        <x:v>0</x:v>
      </x:c>
      <x:c r="O204" t="str">
        <x:f>'Catalogo Ferramenta'!N204</x:f>
        <x:v>BLACK+DECKER</x:v>
      </x:c>
      <x:c r="P204" t="str">
        <x:f>'Catalogo Ferramenta'!P204</x:f>
        <x:v>Catalogo Black+Decker Lo Specialista 2026, pagina 120. Prezzi se presenti: raccomandati dal catalogo.</x:v>
      </x:c>
      <x:c r="Q204" s="14" t="n">
        <x:f>'Catalogo Ferramenta'!R204</x:f>
        <x:v>120</x:v>
      </x:c>
      <x:c r="R204" t="str">
        <x:f>'Catalogo Ferramenta'!S204</x:f>
        <x:v>B+D_CATALOGO Lo Specialista 2026.pdf</x:v>
      </x:c>
      <x:c r="S204" s="45" t="b">
        <x:f>AND(D204&lt;&gt;"",B204&lt;&gt;"")</x:f>
        <x:v>1</x:v>
      </x:c>
      <x:c r="T204" t="str">
        <x:f>TEXTJOIN("; ",TRUE,IF(D204="","manca nome",""),IF(B204="","manca barcode",""),IF(H204=0,"prezzo costo da compilare",""),IF(I204=0,"prezzo vendita da compilare",""),IF(K204=0,"quantità da compilare",""))</x:f>
        <x:v>prezzo costo da compilare; prezzo vendita da compilare; quantità da compilare</x:v>
      </x:c>
    </x:row>
    <x:row r="205">
      <x:c r="A205" t="str">
        <x:f>'Catalogo Ferramenta'!A205</x:f>
        <x:v>BD-0204</x:v>
      </x:c>
      <x:c r="B205" t="str">
        <x:f>'Catalogo Ferramenta'!B205</x:f>
        <x:v>5035048741245</x:v>
      </x:c>
      <x:c r="C205" t="str">
        <x:f>'Catalogo Ferramenta'!C205</x:f>
        <x:v>BZOIHK2-XJ</x:v>
      </x:c>
      <x:c r="D205" t="str">
        <x:f>'Catalogo Ferramenta'!D205</x:f>
        <x:v>Tubo (6 metri con galleggiante) + adattatore quickconnect</x:v>
      </x:c>
      <x:c r="E205" t="str">
        <x:f>'Catalogo Ferramenta'!E205</x:f>
        <x:v>BLACK+DECKER</x:v>
      </x:c>
      <x:c r="F205" t="str">
        <x:f>'Catalogo Ferramenta'!F205</x:f>
        <x:v>GAMMA GIARDINO</x:v>
      </x:c>
      <x:c r="G205" t="str">
        <x:f>'Catalogo Ferramenta'!G205</x:f>
        <x:v>ACCESSORI GIARDINO</x:v>
      </x:c>
      <x:c r="H205" s="12" t="n">
        <x:f>IF('Catalogo Ferramenta'!H205="",0,'Catalogo Ferramenta'!H205)</x:f>
        <x:v>0</x:v>
      </x:c>
      <x:c r="I205" s="12" t="n">
        <x:f>IF('Catalogo Ferramenta'!I205="",0,'Catalogo Ferramenta'!I205)</x:f>
        <x:v>0</x:v>
      </x:c>
      <x:c r="J205" s="14" t="n">
        <x:f>IF('Catalogo Ferramenta'!J205="",22,'Catalogo Ferramenta'!J205)</x:f>
        <x:v>22</x:v>
      </x:c>
      <x:c r="K205" s="14" t="n">
        <x:f>IF('Catalogo Ferramenta'!K205="",0,'Catalogo Ferramenta'!K205)</x:f>
        <x:v>0</x:v>
      </x:c>
      <x:c r="L205" s="14" t="n">
        <x:f>1</x:f>
        <x:v>1</x:v>
      </x:c>
      <x:c r="M205" t="n">
        <x:f>'Catalogo Ferramenta'!L205</x:f>
        <x:v>0</x:v>
      </x:c>
      <x:c r="N205" t="n">
        <x:f>'Catalogo Ferramenta'!M205</x:f>
        <x:v>0</x:v>
      </x:c>
      <x:c r="O205" t="str">
        <x:f>'Catalogo Ferramenta'!N205</x:f>
        <x:v>BLACK+DECKER</x:v>
      </x:c>
      <x:c r="P205" t="str">
        <x:f>'Catalogo Ferramenta'!P205</x:f>
        <x:v>Catalogo Black+Decker Lo Specialista 2026, pagina 120. Prezzi se presenti: raccomandati dal catalogo.</x:v>
      </x:c>
      <x:c r="Q205" s="14" t="n">
        <x:f>'Catalogo Ferramenta'!R205</x:f>
        <x:v>120</x:v>
      </x:c>
      <x:c r="R205" t="str">
        <x:f>'Catalogo Ferramenta'!S205</x:f>
        <x:v>B+D_CATALOGO Lo Specialista 2026.pdf</x:v>
      </x:c>
      <x:c r="S205" s="45" t="b">
        <x:f>AND(D205&lt;&gt;"",B205&lt;&gt;"")</x:f>
        <x:v>1</x:v>
      </x:c>
      <x:c r="T205" t="str">
        <x:f>TEXTJOIN("; ",TRUE,IF(D205="","manca nome",""),IF(B205="","manca barcode",""),IF(H205=0,"prezzo costo da compilare",""),IF(I205=0,"prezzo vendita da compilare",""),IF(K205=0,"quantità da compilare",""))</x:f>
        <x:v>prezzo costo da compilare; prezzo vendita da compilare; quantità da compilare</x:v>
      </x:c>
    </x:row>
    <x:row r="206">
      <x:c r="A206" t="str">
        <x:f>'Catalogo Ferramenta'!A206</x:f>
        <x:v>BD-0205</x:v>
      </x:c>
      <x:c r="B206" t="str">
        <x:f>'Catalogo Ferramenta'!B206</x:f>
        <x:v>5035048741344</x:v>
      </x:c>
      <x:c r="C206" t="str">
        <x:f>'Catalogo Ferramenta'!C206</x:f>
        <x:v>BZOQDW1-XJ</x:v>
      </x:c>
      <x:c r="D206" t="str">
        <x:f>'Catalogo Ferramenta'!D206</x:f>
        <x:v>Lancia lunga</x:v>
      </x:c>
      <x:c r="E206" t="str">
        <x:f>'Catalogo Ferramenta'!E206</x:f>
        <x:v>BLACK+DECKER</x:v>
      </x:c>
      <x:c r="F206" t="str">
        <x:f>'Catalogo Ferramenta'!F206</x:f>
        <x:v>GAMMA GIARDINO</x:v>
      </x:c>
      <x:c r="G206" t="str">
        <x:f>'Catalogo Ferramenta'!G206</x:f>
        <x:v>ACCESSORI GIARDINO</x:v>
      </x:c>
      <x:c r="H206" s="12" t="n">
        <x:f>IF('Catalogo Ferramenta'!H206="",0,'Catalogo Ferramenta'!H206)</x:f>
        <x:v>0</x:v>
      </x:c>
      <x:c r="I206" s="12" t="n">
        <x:f>IF('Catalogo Ferramenta'!I206="",0,'Catalogo Ferramenta'!I206)</x:f>
        <x:v>0</x:v>
      </x:c>
      <x:c r="J206" s="14" t="n">
        <x:f>IF('Catalogo Ferramenta'!J206="",22,'Catalogo Ferramenta'!J206)</x:f>
        <x:v>22</x:v>
      </x:c>
      <x:c r="K206" s="14" t="n">
        <x:f>IF('Catalogo Ferramenta'!K206="",0,'Catalogo Ferramenta'!K206)</x:f>
        <x:v>0</x:v>
      </x:c>
      <x:c r="L206" s="14" t="n">
        <x:f>1</x:f>
        <x:v>1</x:v>
      </x:c>
      <x:c r="M206" t="n">
        <x:f>'Catalogo Ferramenta'!L206</x:f>
        <x:v>0</x:v>
      </x:c>
      <x:c r="N206" t="n">
        <x:f>'Catalogo Ferramenta'!M206</x:f>
        <x:v>0</x:v>
      </x:c>
      <x:c r="O206" t="str">
        <x:f>'Catalogo Ferramenta'!N206</x:f>
        <x:v>BLACK+DECKER</x:v>
      </x:c>
      <x:c r="P206" t="str">
        <x:f>'Catalogo Ferramenta'!P206</x:f>
        <x:v>Catalogo Black+Decker Lo Specialista 2026, pagina 120. Prezzi se presenti: raccomandati dal catalogo.</x:v>
      </x:c>
      <x:c r="Q206" s="14" t="n">
        <x:f>'Catalogo Ferramenta'!R206</x:f>
        <x:v>120</x:v>
      </x:c>
      <x:c r="R206" t="str">
        <x:f>'Catalogo Ferramenta'!S206</x:f>
        <x:v>B+D_CATALOGO Lo Specialista 2026.pdf</x:v>
      </x:c>
      <x:c r="S206" s="45" t="b">
        <x:f>AND(D206&lt;&gt;"",B206&lt;&gt;"")</x:f>
        <x:v>1</x:v>
      </x:c>
      <x:c r="T206" t="str">
        <x:f>TEXTJOIN("; ",TRUE,IF(D206="","manca nome",""),IF(B206="","manca barcode",""),IF(H206=0,"prezzo costo da compilare",""),IF(I206=0,"prezzo vendita da compilare",""),IF(K206=0,"quantità da compilare",""))</x:f>
        <x:v>prezzo costo da compilare; prezzo vendita da compilare; quantità da compilare</x:v>
      </x:c>
    </x:row>
    <x:row r="207">
      <x:c r="A207" t="str">
        <x:f>'Catalogo Ferramenta'!A207</x:f>
        <x:v>BD-0206</x:v>
      </x:c>
      <x:c r="B207" t="str">
        <x:f>'Catalogo Ferramenta'!B207</x:f>
        <x:v>5035048741269</x:v>
      </x:c>
      <x:c r="C207" t="str">
        <x:f>'Catalogo Ferramenta'!C207</x:f>
        <x:v>BZOSBSK3-XJ</x:v>
      </x:c>
      <x:c r="D207" t="str">
        <x:f>'Catalogo Ferramenta'!D207</x:f>
        <x:v>Kit pulizia (spazzola + porta detergente)</x:v>
      </x:c>
      <x:c r="E207" t="str">
        <x:f>'Catalogo Ferramenta'!E207</x:f>
        <x:v>BLACK+DECKER</x:v>
      </x:c>
      <x:c r="F207" t="str">
        <x:f>'Catalogo Ferramenta'!F207</x:f>
        <x:v>GAMMA GIARDINO</x:v>
      </x:c>
      <x:c r="G207" t="str">
        <x:f>'Catalogo Ferramenta'!G207</x:f>
        <x:v>ACCESSORI GIARDINO</x:v>
      </x:c>
      <x:c r="H207" s="12" t="n">
        <x:f>IF('Catalogo Ferramenta'!H207="",0,'Catalogo Ferramenta'!H207)</x:f>
        <x:v>0</x:v>
      </x:c>
      <x:c r="I207" s="12" t="n">
        <x:f>IF('Catalogo Ferramenta'!I207="",0,'Catalogo Ferramenta'!I207)</x:f>
        <x:v>0</x:v>
      </x:c>
      <x:c r="J207" s="14" t="n">
        <x:f>IF('Catalogo Ferramenta'!J207="",22,'Catalogo Ferramenta'!J207)</x:f>
        <x:v>22</x:v>
      </x:c>
      <x:c r="K207" s="14" t="n">
        <x:f>IF('Catalogo Ferramenta'!K207="",0,'Catalogo Ferramenta'!K207)</x:f>
        <x:v>0</x:v>
      </x:c>
      <x:c r="L207" s="14" t="n">
        <x:f>1</x:f>
        <x:v>1</x:v>
      </x:c>
      <x:c r="M207" t="n">
        <x:f>'Catalogo Ferramenta'!L207</x:f>
        <x:v>0</x:v>
      </x:c>
      <x:c r="N207" t="n">
        <x:f>'Catalogo Ferramenta'!M207</x:f>
        <x:v>0</x:v>
      </x:c>
      <x:c r="O207" t="str">
        <x:f>'Catalogo Ferramenta'!N207</x:f>
        <x:v>BLACK+DECKER</x:v>
      </x:c>
      <x:c r="P207" t="str">
        <x:f>'Catalogo Ferramenta'!P207</x:f>
        <x:v>Catalogo Black+Decker Lo Specialista 2026, pagina 120. Prezzi se presenti: raccomandati dal catalogo.</x:v>
      </x:c>
      <x:c r="Q207" s="14" t="n">
        <x:f>'Catalogo Ferramenta'!R207</x:f>
        <x:v>120</x:v>
      </x:c>
      <x:c r="R207" t="str">
        <x:f>'Catalogo Ferramenta'!S207</x:f>
        <x:v>B+D_CATALOGO Lo Specialista 2026.pdf</x:v>
      </x:c>
      <x:c r="S207" s="45" t="b">
        <x:f>AND(D207&lt;&gt;"",B207&lt;&gt;"")</x:f>
        <x:v>1</x:v>
      </x:c>
      <x:c r="T207" t="str">
        <x:f>TEXTJOIN("; ",TRUE,IF(D207="","manca nome",""),IF(B207="","manca barcode",""),IF(H207=0,"prezzo costo da compilare",""),IF(I207=0,"prezzo vendita da compilare",""),IF(K207=0,"quantità da compilare",""))</x:f>
        <x:v>prezzo costo da compilare; prezzo vendita da compilare; quantità da compilare</x:v>
      </x:c>
    </x:row>
    <x:row r="208">
      <x:c r="A208" t="str">
        <x:f>'Catalogo Ferramenta'!A208</x:f>
        <x:v>BD-0207</x:v>
      </x:c>
      <x:c r="B208" t="str">
        <x:f>'Catalogo Ferramenta'!B208</x:f>
        <x:v>5035048741283</x:v>
      </x:c>
      <x:c r="C208" t="str">
        <x:f>'Catalogo Ferramenta'!C208</x:f>
        <x:v>BZOSW1-XJ</x:v>
      </x:c>
      <x:c r="D208" t="str">
        <x:f>'Catalogo Ferramenta'!D208</x:f>
        <x:v>Lancia corta</x:v>
      </x:c>
      <x:c r="E208" t="str">
        <x:f>'Catalogo Ferramenta'!E208</x:f>
        <x:v>BLACK+DECKER</x:v>
      </x:c>
      <x:c r="F208" t="str">
        <x:f>'Catalogo Ferramenta'!F208</x:f>
        <x:v>GAMMA GIARDINO</x:v>
      </x:c>
      <x:c r="G208" t="str">
        <x:f>'Catalogo Ferramenta'!G208</x:f>
        <x:v>ACCESSORI GIARDINO</x:v>
      </x:c>
      <x:c r="H208" s="12" t="n">
        <x:f>IF('Catalogo Ferramenta'!H208="",0,'Catalogo Ferramenta'!H208)</x:f>
        <x:v>0</x:v>
      </x:c>
      <x:c r="I208" s="12" t="n">
        <x:f>IF('Catalogo Ferramenta'!I208="",0,'Catalogo Ferramenta'!I208)</x:f>
        <x:v>0</x:v>
      </x:c>
      <x:c r="J208" s="14" t="n">
        <x:f>IF('Catalogo Ferramenta'!J208="",22,'Catalogo Ferramenta'!J208)</x:f>
        <x:v>22</x:v>
      </x:c>
      <x:c r="K208" s="14" t="n">
        <x:f>IF('Catalogo Ferramenta'!K208="",0,'Catalogo Ferramenta'!K208)</x:f>
        <x:v>0</x:v>
      </x:c>
      <x:c r="L208" s="14" t="n">
        <x:f>1</x:f>
        <x:v>1</x:v>
      </x:c>
      <x:c r="M208" t="n">
        <x:f>'Catalogo Ferramenta'!L208</x:f>
        <x:v>0</x:v>
      </x:c>
      <x:c r="N208" t="n">
        <x:f>'Catalogo Ferramenta'!M208</x:f>
        <x:v>0</x:v>
      </x:c>
      <x:c r="O208" t="str">
        <x:f>'Catalogo Ferramenta'!N208</x:f>
        <x:v>BLACK+DECKER</x:v>
      </x:c>
      <x:c r="P208" t="str">
        <x:f>'Catalogo Ferramenta'!P208</x:f>
        <x:v>Catalogo Black+Decker Lo Specialista 2026, pagina 120. Prezzi se presenti: raccomandati dal catalogo.</x:v>
      </x:c>
      <x:c r="Q208" s="14" t="n">
        <x:f>'Catalogo Ferramenta'!R208</x:f>
        <x:v>120</x:v>
      </x:c>
      <x:c r="R208" t="str">
        <x:f>'Catalogo Ferramenta'!S208</x:f>
        <x:v>B+D_CATALOGO Lo Specialista 2026.pdf</x:v>
      </x:c>
      <x:c r="S208" s="45" t="b">
        <x:f>AND(D208&lt;&gt;"",B208&lt;&gt;"")</x:f>
        <x:v>1</x:v>
      </x:c>
      <x:c r="T208" t="str">
        <x:f>TEXTJOIN("; ",TRUE,IF(D208="","manca nome",""),IF(B208="","manca barcode",""),IF(H208=0,"prezzo costo da compilare",""),IF(I208=0,"prezzo vendita da compilare",""),IF(K208=0,"quantità da compilare",""))</x:f>
        <x:v>prezzo costo da compilare; prezzo vendita da compilare; quantità da compilare</x:v>
      </x:c>
    </x:row>
    <x:row r="209">
      <x:c r="A209" t="str">
        <x:f>'Catalogo Ferramenta'!A209</x:f>
        <x:v>BD-0208</x:v>
      </x:c>
      <x:c r="B209" t="str">
        <x:f>'Catalogo Ferramenta'!B209</x:f>
        <x:v>5035048637272</x:v>
      </x:c>
      <x:c r="C209" t="str">
        <x:f>'Catalogo Ferramenta'!C209</x:f>
        <x:v>CLMA4820L2-QW</x:v>
      </x:c>
      <x:c r="D209" t="str">
        <x:f>'Catalogo Ferramenta'!D209</x:f>
        <x:v>Rasaerba con doppia batteria 36V</x:v>
      </x:c>
      <x:c r="E209" t="str">
        <x:f>'Catalogo Ferramenta'!E209</x:f>
        <x:v>BLACK+DECKER</x:v>
      </x:c>
      <x:c r="F209" t="str">
        <x:f>'Catalogo Ferramenta'!F209</x:f>
        <x:v>GAMMA GIARDINO</x:v>
      </x:c>
      <x:c r="G209" t="str">
        <x:f>'Catalogo Ferramenta'!G209</x:f>
        <x:v>RASAERBA</x:v>
      </x:c>
      <x:c r="H209" s="12" t="n">
        <x:f>IF('Catalogo Ferramenta'!H209="",0,'Catalogo Ferramenta'!H209)</x:f>
        <x:v>405.6</x:v>
      </x:c>
      <x:c r="I209" s="12" t="n">
        <x:f>IF('Catalogo Ferramenta'!I209="",0,'Catalogo Ferramenta'!I209)</x:f>
        <x:v>494.8</x:v>
      </x:c>
      <x:c r="J209" s="14" t="n">
        <x:f>IF('Catalogo Ferramenta'!J209="",22,'Catalogo Ferramenta'!J209)</x:f>
        <x:v>22</x:v>
      </x:c>
      <x:c r="K209" s="14" t="n">
        <x:f>IF('Catalogo Ferramenta'!K209="",0,'Catalogo Ferramenta'!K209)</x:f>
        <x:v>0</x:v>
      </x:c>
      <x:c r="L209" s="14" t="n">
        <x:f>1</x:f>
        <x:v>1</x:v>
      </x:c>
      <x:c r="M209" t="n">
        <x:f>'Catalogo Ferramenta'!L209</x:f>
        <x:v>0</x:v>
      </x:c>
      <x:c r="N209" t="n">
        <x:f>'Catalogo Ferramenta'!M209</x:f>
        <x:v>0</x:v>
      </x:c>
      <x:c r="O209" t="str">
        <x:f>'Catalogo Ferramenta'!N209</x:f>
        <x:v>BLACK+DECKER</x:v>
      </x:c>
      <x:c r="P209" t="str">
        <x:f>'Catalogo Ferramenta'!P209</x:f>
        <x:v>Catalogo Black+Decker Lo Specialista 2026, pagina 85. Prezzi se presenti: raccomandati dal catalogo.</x:v>
      </x:c>
      <x:c r="Q209" s="14" t="n">
        <x:f>'Catalogo Ferramenta'!R209</x:f>
        <x:v>85</x:v>
      </x:c>
      <x:c r="R209" t="str">
        <x:f>'Catalogo Ferramenta'!S209</x:f>
        <x:v>B+D_CATALOGO Lo Specialista 2026.pdf</x:v>
      </x:c>
      <x:c r="S209" s="45" t="b">
        <x:f>AND(D209&lt;&gt;"",B209&lt;&gt;"")</x:f>
        <x:v>1</x:v>
      </x:c>
      <x:c r="T209" t="str">
        <x:f>TEXTJOIN("; ",TRUE,IF(D209="","manca nome",""),IF(B209="","manca barcode",""),IF(H209=0,"prezzo costo da compilare",""),IF(I209=0,"prezzo vendita da compilare",""),IF(K209=0,"quantità da compilare",""))</x:f>
        <x:v>quantità da compilare</x:v>
      </x:c>
    </x:row>
    <x:row r="210">
      <x:c r="A210" t="str">
        <x:f>'Catalogo Ferramenta'!A210</x:f>
        <x:v>BD-0209</x:v>
      </x:c>
      <x:c r="B210" t="str">
        <x:f>'Catalogo Ferramenta'!B210</x:f>
        <x:v>5035048459041</x:v>
      </x:c>
      <x:c r="C210" t="str">
        <x:f>'Catalogo Ferramenta'!C210</x:f>
        <x:v>CM100-XJ</x:v>
      </x:c>
      <x:c r="D210" t="str">
        <x:f>'Catalogo Ferramenta'!D210</x:f>
        <x:v>Base "3 - in - 1", due altezze taglio, ruote durevoli, leggero e compatto</x:v>
      </x:c>
      <x:c r="E210" t="str">
        <x:f>'Catalogo Ferramenta'!E210</x:f>
        <x:v>BLACK+DECKER</x:v>
      </x:c>
      <x:c r="F210" t="str">
        <x:f>'Catalogo Ferramenta'!F210</x:f>
        <x:v>GAMMA GIARDINO</x:v>
      </x:c>
      <x:c r="G210" t="str">
        <x:f>'Catalogo Ferramenta'!G210</x:f>
        <x:v>ACCESSORI GIARDINO</x:v>
      </x:c>
      <x:c r="H210" s="12" t="n">
        <x:f>IF('Catalogo Ferramenta'!H210="",0,'Catalogo Ferramenta'!H210)</x:f>
        <x:v>139.2</x:v>
      </x:c>
      <x:c r="I210" s="12" t="n">
        <x:f>IF('Catalogo Ferramenta'!I210="",0,'Catalogo Ferramenta'!I210)</x:f>
        <x:v>169.8</x:v>
      </x:c>
      <x:c r="J210" s="14" t="n">
        <x:f>IF('Catalogo Ferramenta'!J210="",22,'Catalogo Ferramenta'!J210)</x:f>
        <x:v>22</x:v>
      </x:c>
      <x:c r="K210" s="14" t="n">
        <x:f>IF('Catalogo Ferramenta'!K210="",0,'Catalogo Ferramenta'!K210)</x:f>
        <x:v>0</x:v>
      </x:c>
      <x:c r="L210" s="14" t="n">
        <x:f>1</x:f>
        <x:v>1</x:v>
      </x:c>
      <x:c r="M210" t="n">
        <x:f>'Catalogo Ferramenta'!L210</x:f>
        <x:v>0</x:v>
      </x:c>
      <x:c r="N210" t="n">
        <x:f>'Catalogo Ferramenta'!M210</x:f>
        <x:v>0</x:v>
      </x:c>
      <x:c r="O210" t="str">
        <x:f>'Catalogo Ferramenta'!N210</x:f>
        <x:v>BLACK+DECKER</x:v>
      </x:c>
      <x:c r="P210" t="str">
        <x:f>'Catalogo Ferramenta'!P210</x:f>
        <x:v>Catalogo Black+Decker Lo Specialista 2026, pagina 97. Prezzi se presenti: raccomandati dal catalogo.</x:v>
      </x:c>
      <x:c r="Q210" s="14" t="n">
        <x:f>'Catalogo Ferramenta'!R210</x:f>
        <x:v>97</x:v>
      </x:c>
      <x:c r="R210" t="str">
        <x:f>'Catalogo Ferramenta'!S210</x:f>
        <x:v>B+D_CATALOGO Lo Specialista 2026.pdf</x:v>
      </x:c>
      <x:c r="S210" s="45" t="b">
        <x:f>AND(D210&lt;&gt;"",B210&lt;&gt;"")</x:f>
        <x:v>1</x:v>
      </x:c>
      <x:c r="T210" t="str">
        <x:f>TEXTJOIN("; ",TRUE,IF(D210="","manca nome",""),IF(B210="","manca barcode",""),IF(H210=0,"prezzo costo da compilare",""),IF(I210=0,"prezzo vendita da compilare",""),IF(K210=0,"quantità da compilare",""))</x:f>
        <x:v>quantità da compilare</x:v>
      </x:c>
    </x:row>
    <x:row r="211">
      <x:c r="A211" t="str">
        <x:f>'Catalogo Ferramenta'!A211</x:f>
        <x:v>BD-0210</x:v>
      </x:c>
      <x:c r="B211" t="str">
        <x:f>'Catalogo Ferramenta'!B211</x:f>
        <x:v>5035048810309</x:v>
      </x:c>
      <x:c r="C211" t="str">
        <x:f>'Catalogo Ferramenta'!C211</x:f>
        <x:v>CS1200-QS</x:v>
      </x:c>
      <x:c r="D211" t="str">
        <x:f>'Catalogo Ferramenta'!D211</x:f>
        <x:v>Sega circolare 1200W</x:v>
      </x:c>
      <x:c r="E211" t="str">
        <x:f>'Catalogo Ferramenta'!E211</x:f>
        <x:v>BLACK+DECKER</x:v>
      </x:c>
      <x:c r="F211" t="str">
        <x:f>'Catalogo Ferramenta'!F211</x:f>
        <x:v>ELETTROUTENSILI</x:v>
      </x:c>
      <x:c r="G211" t="str">
        <x:f>'Catalogo Ferramenta'!G211</x:f>
        <x:v>UTENSILI PER TAGLIARE</x:v>
      </x:c>
      <x:c r="H211" s="12" t="n">
        <x:f>IF('Catalogo Ferramenta'!H211="",0,'Catalogo Ferramenta'!H211)</x:f>
        <x:v>0</x:v>
      </x:c>
      <x:c r="I211" s="12" t="n">
        <x:f>IF('Catalogo Ferramenta'!I211="",0,'Catalogo Ferramenta'!I211)</x:f>
        <x:v>0</x:v>
      </x:c>
      <x:c r="J211" s="14" t="n">
        <x:f>IF('Catalogo Ferramenta'!J211="",22,'Catalogo Ferramenta'!J211)</x:f>
        <x:v>22</x:v>
      </x:c>
      <x:c r="K211" s="14" t="n">
        <x:f>IF('Catalogo Ferramenta'!K211="",0,'Catalogo Ferramenta'!K211)</x:f>
        <x:v>0</x:v>
      </x:c>
      <x:c r="L211" s="14" t="n">
        <x:f>1</x:f>
        <x:v>1</x:v>
      </x:c>
      <x:c r="M211" t="n">
        <x:f>'Catalogo Ferramenta'!L211</x:f>
        <x:v>0</x:v>
      </x:c>
      <x:c r="N211" t="n">
        <x:f>'Catalogo Ferramenta'!M211</x:f>
        <x:v>0</x:v>
      </x:c>
      <x:c r="O211" t="str">
        <x:f>'Catalogo Ferramenta'!N211</x:f>
        <x:v>BLACK+DECKER</x:v>
      </x:c>
      <x:c r="P211" t="str">
        <x:f>'Catalogo Ferramenta'!P211</x:f>
        <x:v>Catalogo Black+Decker Lo Specialista 2026, pagina 36. Prezzi se presenti: raccomandati dal catalogo.</x:v>
      </x:c>
      <x:c r="Q211" s="14" t="n">
        <x:f>'Catalogo Ferramenta'!R211</x:f>
        <x:v>36</x:v>
      </x:c>
      <x:c r="R211" t="str">
        <x:f>'Catalogo Ferramenta'!S211</x:f>
        <x:v>B+D_CATALOGO Lo Specialista 2026.pdf</x:v>
      </x:c>
      <x:c r="S211" s="45" t="b">
        <x:f>AND(D211&lt;&gt;"",B211&lt;&gt;"")</x:f>
        <x:v>1</x:v>
      </x:c>
      <x:c r="T211" t="str">
        <x:f>TEXTJOIN("; ",TRUE,IF(D211="","manca nome",""),IF(B211="","manca barcode",""),IF(H211=0,"prezzo costo da compilare",""),IF(I211=0,"prezzo vendita da compilare",""),IF(K211=0,"quantità da compilare",""))</x:f>
        <x:v>prezzo costo da compilare; prezzo vendita da compilare; quantità da compilare</x:v>
      </x:c>
    </x:row>
    <x:row r="212">
      <x:c r="A212" t="str">
        <x:f>'Catalogo Ferramenta'!A212</x:f>
        <x:v>BD-0211</x:v>
      </x:c>
      <x:c r="B212" t="str">
        <x:f>'Catalogo Ferramenta'!B212</x:f>
        <x:v>5035048659182</x:v>
      </x:c>
      <x:c r="C212" t="str">
        <x:f>'Catalogo Ferramenta'!C212</x:f>
        <x:v>CS1250L-QS</x:v>
      </x:c>
      <x:c r="D212" t="str">
        <x:f>'Catalogo Ferramenta'!D212</x:f>
        <x:v>Sega circolare 1250W</x:v>
      </x:c>
      <x:c r="E212" t="str">
        <x:f>'Catalogo Ferramenta'!E212</x:f>
        <x:v>BLACK+DECKER</x:v>
      </x:c>
      <x:c r="F212" t="str">
        <x:f>'Catalogo Ferramenta'!F212</x:f>
        <x:v>ELETTROUTENSILI</x:v>
      </x:c>
      <x:c r="G212" t="str">
        <x:f>'Catalogo Ferramenta'!G212</x:f>
        <x:v>UTENSILI PER TAGLIARE</x:v>
      </x:c>
      <x:c r="H212" s="12" t="n">
        <x:f>IF('Catalogo Ferramenta'!H212="",0,'Catalogo Ferramenta'!H212)</x:f>
        <x:v>0</x:v>
      </x:c>
      <x:c r="I212" s="12" t="n">
        <x:f>IF('Catalogo Ferramenta'!I212="",0,'Catalogo Ferramenta'!I212)</x:f>
        <x:v>0</x:v>
      </x:c>
      <x:c r="J212" s="14" t="n">
        <x:f>IF('Catalogo Ferramenta'!J212="",22,'Catalogo Ferramenta'!J212)</x:f>
        <x:v>22</x:v>
      </x:c>
      <x:c r="K212" s="14" t="n">
        <x:f>IF('Catalogo Ferramenta'!K212="",0,'Catalogo Ferramenta'!K212)</x:f>
        <x:v>0</x:v>
      </x:c>
      <x:c r="L212" s="14" t="n">
        <x:f>1</x:f>
        <x:v>1</x:v>
      </x:c>
      <x:c r="M212" t="n">
        <x:f>'Catalogo Ferramenta'!L212</x:f>
        <x:v>0</x:v>
      </x:c>
      <x:c r="N212" t="n">
        <x:f>'Catalogo Ferramenta'!M212</x:f>
        <x:v>0</x:v>
      </x:c>
      <x:c r="O212" t="str">
        <x:f>'Catalogo Ferramenta'!N212</x:f>
        <x:v>BLACK+DECKER</x:v>
      </x:c>
      <x:c r="P212" t="str">
        <x:f>'Catalogo Ferramenta'!P212</x:f>
        <x:v>Catalogo Black+Decker Lo Specialista 2026, pagina 36. Prezzi se presenti: raccomandati dal catalogo.</x:v>
      </x:c>
      <x:c r="Q212" s="14" t="n">
        <x:f>'Catalogo Ferramenta'!R212</x:f>
        <x:v>36</x:v>
      </x:c>
      <x:c r="R212" t="str">
        <x:f>'Catalogo Ferramenta'!S212</x:f>
        <x:v>B+D_CATALOGO Lo Specialista 2026.pdf</x:v>
      </x:c>
      <x:c r="S212" s="45" t="b">
        <x:f>AND(D212&lt;&gt;"",B212&lt;&gt;"")</x:f>
        <x:v>1</x:v>
      </x:c>
      <x:c r="T212" t="str">
        <x:f>TEXTJOIN("; ",TRUE,IF(D212="","manca nome",""),IF(B212="","manca barcode",""),IF(H212=0,"prezzo costo da compilare",""),IF(I212=0,"prezzo vendita da compilare",""),IF(K212=0,"quantità da compilare",""))</x:f>
        <x:v>prezzo costo da compilare; prezzo vendita da compilare; quantità da compilare</x:v>
      </x:c>
    </x:row>
    <x:row r="213">
      <x:c r="A213" t="str">
        <x:f>'Catalogo Ferramenta'!A213</x:f>
        <x:v>BD-0212</x:v>
      </x:c>
      <x:c r="B213" t="str">
        <x:f>'Catalogo Ferramenta'!B213</x:f>
        <x:v>5035048655078</x:v>
      </x:c>
      <x:c r="C213" t="str">
        <x:f>'Catalogo Ferramenta'!C213</x:f>
        <x:v>CS1550-QS</x:v>
      </x:c>
      <x:c r="D213" t="str">
        <x:f>'Catalogo Ferramenta'!D213</x:f>
        <x:v>Sega circolare a filo 1500W</x:v>
      </x:c>
      <x:c r="E213" t="str">
        <x:f>'Catalogo Ferramenta'!E213</x:f>
        <x:v>BLACK+DECKER</x:v>
      </x:c>
      <x:c r="F213" t="str">
        <x:f>'Catalogo Ferramenta'!F213</x:f>
        <x:v>ELETTROUTENSILI</x:v>
      </x:c>
      <x:c r="G213" t="str">
        <x:f>'Catalogo Ferramenta'!G213</x:f>
        <x:v>UTENSILI PER TAGLIARE</x:v>
      </x:c>
      <x:c r="H213" s="12" t="n">
        <x:f>IF('Catalogo Ferramenta'!H213="",0,'Catalogo Ferramenta'!H213)</x:f>
        <x:v>0</x:v>
      </x:c>
      <x:c r="I213" s="12" t="n">
        <x:f>IF('Catalogo Ferramenta'!I213="",0,'Catalogo Ferramenta'!I213)</x:f>
        <x:v>0</x:v>
      </x:c>
      <x:c r="J213" s="14" t="n">
        <x:f>IF('Catalogo Ferramenta'!J213="",22,'Catalogo Ferramenta'!J213)</x:f>
        <x:v>22</x:v>
      </x:c>
      <x:c r="K213" s="14" t="n">
        <x:f>IF('Catalogo Ferramenta'!K213="",0,'Catalogo Ferramenta'!K213)</x:f>
        <x:v>0</x:v>
      </x:c>
      <x:c r="L213" s="14" t="n">
        <x:f>1</x:f>
        <x:v>1</x:v>
      </x:c>
      <x:c r="M213" t="n">
        <x:f>'Catalogo Ferramenta'!L213</x:f>
        <x:v>0</x:v>
      </x:c>
      <x:c r="N213" t="n">
        <x:f>'Catalogo Ferramenta'!M213</x:f>
        <x:v>0</x:v>
      </x:c>
      <x:c r="O213" t="str">
        <x:f>'Catalogo Ferramenta'!N213</x:f>
        <x:v>BLACK+DECKER</x:v>
      </x:c>
      <x:c r="P213" t="str">
        <x:f>'Catalogo Ferramenta'!P213</x:f>
        <x:v>Catalogo Black+Decker Lo Specialista 2026, pagina 37. Prezzi se presenti: raccomandati dal catalogo.</x:v>
      </x:c>
      <x:c r="Q213" s="14" t="n">
        <x:f>'Catalogo Ferramenta'!R213</x:f>
        <x:v>37</x:v>
      </x:c>
      <x:c r="R213" t="str">
        <x:f>'Catalogo Ferramenta'!S213</x:f>
        <x:v>B+D_CATALOGO Lo Specialista 2026.pdf</x:v>
      </x:c>
      <x:c r="S213" s="45" t="b">
        <x:f>AND(D213&lt;&gt;"",B213&lt;&gt;"")</x:f>
        <x:v>1</x:v>
      </x:c>
      <x:c r="T213" t="str">
        <x:f>TEXTJOIN("; ",TRUE,IF(D213="","manca nome",""),IF(B213="","manca barcode",""),IF(H213=0,"prezzo costo da compilare",""),IF(I213=0,"prezzo vendita da compilare",""),IF(K213=0,"quantità da compilare",""))</x:f>
        <x:v>prezzo costo da compilare; prezzo vendita da compilare; quantità da compilare</x:v>
      </x:c>
    </x:row>
    <x:row r="214">
      <x:c r="A214" t="str">
        <x:f>'Catalogo Ferramenta'!A214</x:f>
        <x:v>BD-0213</x:v>
      </x:c>
      <x:c r="B214" t="str">
        <x:f>'Catalogo Ferramenta'!B214</x:f>
        <x:v>5035048555965</x:v>
      </x:c>
      <x:c r="C214" t="str">
        <x:f>'Catalogo Ferramenta'!C214</x:f>
        <x:v>CS3651LC-QW</x:v>
      </x:c>
      <x:c r="D214" t="str">
        <x:f>'Catalogo Ferramenta'!D214</x:f>
        <x:v>Svitavvita compatto</x:v>
      </x:c>
      <x:c r="E214" t="str">
        <x:f>'Catalogo Ferramenta'!E214</x:f>
        <x:v>BLACK+DECKER</x:v>
      </x:c>
      <x:c r="F214" t="str">
        <x:f>'Catalogo Ferramenta'!F214</x:f>
        <x:v>ELETTROUTENSILI</x:v>
      </x:c>
      <x:c r="G214" t="str">
        <x:f>'Catalogo Ferramenta'!G214</x:f>
        <x:v>SVITAVVITA</x:v>
      </x:c>
      <x:c r="H214" s="12" t="n">
        <x:f>IF('Catalogo Ferramenta'!H214="",0,'Catalogo Ferramenta'!H214)</x:f>
        <x:v>24.5</x:v>
      </x:c>
      <x:c r="I214" s="12" t="n">
        <x:f>IF('Catalogo Ferramenta'!I214="",0,'Catalogo Ferramenta'!I214)</x:f>
        <x:v>29.9</x:v>
      </x:c>
      <x:c r="J214" s="14" t="n">
        <x:f>IF('Catalogo Ferramenta'!J214="",22,'Catalogo Ferramenta'!J214)</x:f>
        <x:v>22</x:v>
      </x:c>
      <x:c r="K214" s="14" t="n">
        <x:f>IF('Catalogo Ferramenta'!K214="",0,'Catalogo Ferramenta'!K214)</x:f>
        <x:v>0</x:v>
      </x:c>
      <x:c r="L214" s="14" t="n">
        <x:f>1</x:f>
        <x:v>1</x:v>
      </x:c>
      <x:c r="M214" t="n">
        <x:f>'Catalogo Ferramenta'!L214</x:f>
        <x:v>0</x:v>
      </x:c>
      <x:c r="N214" t="n">
        <x:f>'Catalogo Ferramenta'!M214</x:f>
        <x:v>0</x:v>
      </x:c>
      <x:c r="O214" t="str">
        <x:f>'Catalogo Ferramenta'!N214</x:f>
        <x:v>BLACK+DECKER</x:v>
      </x:c>
      <x:c r="P214" t="str">
        <x:f>'Catalogo Ferramenta'!P214</x:f>
        <x:v>Catalogo Black+Decker Lo Specialista 2026, pagina 25. Prezzi se presenti: raccomandati dal catalogo.</x:v>
      </x:c>
      <x:c r="Q214" s="14" t="n">
        <x:f>'Catalogo Ferramenta'!R214</x:f>
        <x:v>25</x:v>
      </x:c>
      <x:c r="R214" t="str">
        <x:f>'Catalogo Ferramenta'!S214</x:f>
        <x:v>B+D_CATALOGO Lo Specialista 2026.pdf</x:v>
      </x:c>
      <x:c r="S214" s="45" t="b">
        <x:f>AND(D214&lt;&gt;"",B214&lt;&gt;"")</x:f>
        <x:v>1</x:v>
      </x:c>
      <x:c r="T214" t="str">
        <x:f>TEXTJOIN("; ",TRUE,IF(D214="","manca nome",""),IF(B214="","manca barcode",""),IF(H214=0,"prezzo costo da compilare",""),IF(I214=0,"prezzo vendita da compilare",""),IF(K214=0,"quantità da compilare",""))</x:f>
        <x:v>quantità da compilare</x:v>
      </x:c>
    </x:row>
    <x:row r="215">
      <x:c r="A215" t="str">
        <x:f>'Catalogo Ferramenta'!A215</x:f>
        <x:v>BD-0214</x:v>
      </x:c>
      <x:c r="B215" t="str">
        <x:f>'Catalogo Ferramenta'!B215</x:f>
        <x:v>5035048556900</x:v>
      </x:c>
      <x:c r="C215" t="str">
        <x:f>'Catalogo Ferramenta'!C215</x:f>
        <x:v>CS3652LC-QW</x:v>
      </x:c>
      <x:c r="D215" t="str">
        <x:f>'Catalogo Ferramenta'!D215</x:f>
        <x:v>Svitavvita con testa ad angolo</x:v>
      </x:c>
      <x:c r="E215" t="str">
        <x:f>'Catalogo Ferramenta'!E215</x:f>
        <x:v>BLACK+DECKER</x:v>
      </x:c>
      <x:c r="F215" t="str">
        <x:f>'Catalogo Ferramenta'!F215</x:f>
        <x:v>ELETTROUTENSILI</x:v>
      </x:c>
      <x:c r="G215" t="str">
        <x:f>'Catalogo Ferramenta'!G215</x:f>
        <x:v>SVITAVVITA</x:v>
      </x:c>
      <x:c r="H215" s="12" t="n">
        <x:f>IF('Catalogo Ferramenta'!H215="",0,'Catalogo Ferramenta'!H215)</x:f>
        <x:v>26.2</x:v>
      </x:c>
      <x:c r="I215" s="12" t="n">
        <x:f>IF('Catalogo Ferramenta'!I215="",0,'Catalogo Ferramenta'!I215)</x:f>
        <x:v>32</x:v>
      </x:c>
      <x:c r="J215" s="14" t="n">
        <x:f>IF('Catalogo Ferramenta'!J215="",22,'Catalogo Ferramenta'!J215)</x:f>
        <x:v>22</x:v>
      </x:c>
      <x:c r="K215" s="14" t="n">
        <x:f>IF('Catalogo Ferramenta'!K215="",0,'Catalogo Ferramenta'!K215)</x:f>
        <x:v>0</x:v>
      </x:c>
      <x:c r="L215" s="14" t="n">
        <x:f>1</x:f>
        <x:v>1</x:v>
      </x:c>
      <x:c r="M215" t="n">
        <x:f>'Catalogo Ferramenta'!L215</x:f>
        <x:v>0</x:v>
      </x:c>
      <x:c r="N215" t="n">
        <x:f>'Catalogo Ferramenta'!M215</x:f>
        <x:v>0</x:v>
      </x:c>
      <x:c r="O215" t="str">
        <x:f>'Catalogo Ferramenta'!N215</x:f>
        <x:v>BLACK+DECKER</x:v>
      </x:c>
      <x:c r="P215" t="str">
        <x:f>'Catalogo Ferramenta'!P215</x:f>
        <x:v>Catalogo Black+Decker Lo Specialista 2026, pagina 27. Prezzi se presenti: raccomandati dal catalogo.</x:v>
      </x:c>
      <x:c r="Q215" s="14" t="n">
        <x:f>'Catalogo Ferramenta'!R215</x:f>
        <x:v>27</x:v>
      </x:c>
      <x:c r="R215" t="str">
        <x:f>'Catalogo Ferramenta'!S215</x:f>
        <x:v>B+D_CATALOGO Lo Specialista 2026.pdf</x:v>
      </x:c>
      <x:c r="S215" s="45" t="b">
        <x:f>AND(D215&lt;&gt;"",B215&lt;&gt;"")</x:f>
        <x:v>1</x:v>
      </x:c>
      <x:c r="T215" t="str">
        <x:f>TEXTJOIN("; ",TRUE,IF(D215="","manca nome",""),IF(B215="","manca barcode",""),IF(H215=0,"prezzo costo da compilare",""),IF(I215=0,"prezzo vendita da compilare",""),IF(K215=0,"quantità da compilare",""))</x:f>
        <x:v>quantità da compilare</x:v>
      </x:c>
    </x:row>
    <x:row r="216">
      <x:c r="A216" t="str">
        <x:f>'Catalogo Ferramenta'!A216</x:f>
        <x:v>BD-0215</x:v>
      </x:c>
      <x:c r="B216" t="str">
        <x:f>'Catalogo Ferramenta'!B216</x:f>
        <x:v>5035048840757</x:v>
      </x:c>
      <x:c r="C216" t="str">
        <x:f>'Catalogo Ferramenta'!C216</x:f>
        <x:v>DVD320B-QW</x:v>
      </x:c>
      <x:c r="D216" t="str">
        <x:f>'Catalogo Ferramenta'!D216</x:f>
        <x:v>Dustbuster con luci led</x:v>
      </x:c>
      <x:c r="E216" t="str">
        <x:f>'Catalogo Ferramenta'!E216</x:f>
        <x:v>BLACK+DECKER</x:v>
      </x:c>
      <x:c r="F216" t="str">
        <x:f>'Catalogo Ferramenta'!F216</x:f>
        <x:v>CURA DELLA CASA</x:v>
      </x:c>
      <x:c r="G216" t="str">
        <x:f>'Catalogo Ferramenta'!G216</x:f>
        <x:v>CURA DELLA CASA</x:v>
      </x:c>
      <x:c r="H216" s="12" t="n">
        <x:f>IF('Catalogo Ferramenta'!H216="",0,'Catalogo Ferramenta'!H216)</x:f>
        <x:v>49.1</x:v>
      </x:c>
      <x:c r="I216" s="12" t="n">
        <x:f>IF('Catalogo Ferramenta'!I216="",0,'Catalogo Ferramenta'!I216)</x:f>
        <x:v>59.9</x:v>
      </x:c>
      <x:c r="J216" s="14" t="n">
        <x:f>IF('Catalogo Ferramenta'!J216="",22,'Catalogo Ferramenta'!J216)</x:f>
        <x:v>22</x:v>
      </x:c>
      <x:c r="K216" s="14" t="n">
        <x:f>IF('Catalogo Ferramenta'!K216="",0,'Catalogo Ferramenta'!K216)</x:f>
        <x:v>0</x:v>
      </x:c>
      <x:c r="L216" s="14" t="n">
        <x:f>1</x:f>
        <x:v>1</x:v>
      </x:c>
      <x:c r="M216" t="n">
        <x:f>'Catalogo Ferramenta'!L216</x:f>
        <x:v>0</x:v>
      </x:c>
      <x:c r="N216" t="n">
        <x:f>'Catalogo Ferramenta'!M216</x:f>
        <x:v>0</x:v>
      </x:c>
      <x:c r="O216" t="str">
        <x:f>'Catalogo Ferramenta'!N216</x:f>
        <x:v>BLACK+DECKER</x:v>
      </x:c>
      <x:c r="P216" t="str">
        <x:f>'Catalogo Ferramenta'!P216</x:f>
        <x:v>Catalogo Black+Decker Lo Specialista 2026, pagina 123. Prezzi se presenti: raccomandati dal catalogo.</x:v>
      </x:c>
      <x:c r="Q216" s="14" t="n">
        <x:f>'Catalogo Ferramenta'!R216</x:f>
        <x:v>123</x:v>
      </x:c>
      <x:c r="R216" t="str">
        <x:f>'Catalogo Ferramenta'!S216</x:f>
        <x:v>B+D_CATALOGO Lo Specialista 2026.pdf</x:v>
      </x:c>
      <x:c r="S216" s="45" t="b">
        <x:f>AND(D216&lt;&gt;"",B216&lt;&gt;"")</x:f>
        <x:v>1</x:v>
      </x:c>
      <x:c r="T216" t="str">
        <x:f>TEXTJOIN("; ",TRUE,IF(D216="","manca nome",""),IF(B216="","manca barcode",""),IF(H216=0,"prezzo costo da compilare",""),IF(I216=0,"prezzo vendita da compilare",""),IF(K216=0,"quantità da compilare",""))</x:f>
        <x:v>quantità da compilare</x:v>
      </x:c>
    </x:row>
    <x:row r="217">
      <x:c r="A217" t="str">
        <x:f>'Catalogo Ferramenta'!A217</x:f>
        <x:v>BD-0216</x:v>
      </x:c>
      <x:c r="B217" t="str">
        <x:f>'Catalogo Ferramenta'!B217</x:f>
        <x:v>5035048238875</x:v>
      </x:c>
      <x:c r="C217" t="str">
        <x:f>'Catalogo Ferramenta'!C217</x:f>
        <x:v>GKC1000L-QW</x:v>
      </x:c>
      <x:c r="D217" t="str">
        <x:f>'Catalogo Ferramenta'!D217</x:f>
        <x:v>Potatore a batteria 18V</x:v>
      </x:c>
      <x:c r="E217" t="str">
        <x:f>'Catalogo Ferramenta'!E217</x:f>
        <x:v>BLACK+DECKER</x:v>
      </x:c>
      <x:c r="F217" t="str">
        <x:f>'Catalogo Ferramenta'!F217</x:f>
        <x:v>GAMMA GIARDINO</x:v>
      </x:c>
      <x:c r="G217" t="str">
        <x:f>'Catalogo Ferramenta'!G217</x:f>
        <x:v>ELETTROSEGHE E POTATORI</x:v>
      </x:c>
      <x:c r="H217" s="12" t="n">
        <x:f>IF('Catalogo Ferramenta'!H217="",0,'Catalogo Ferramenta'!H217)</x:f>
        <x:v>139.3</x:v>
      </x:c>
      <x:c r="I217" s="12" t="n">
        <x:f>IF('Catalogo Ferramenta'!I217="",0,'Catalogo Ferramenta'!I217)</x:f>
        <x:v>169.9</x:v>
      </x:c>
      <x:c r="J217" s="14" t="n">
        <x:f>IF('Catalogo Ferramenta'!J217="",22,'Catalogo Ferramenta'!J217)</x:f>
        <x:v>22</x:v>
      </x:c>
      <x:c r="K217" s="14" t="n">
        <x:f>IF('Catalogo Ferramenta'!K217="",0,'Catalogo Ferramenta'!K217)</x:f>
        <x:v>0</x:v>
      </x:c>
      <x:c r="L217" s="14" t="n">
        <x:f>1</x:f>
        <x:v>1</x:v>
      </x:c>
      <x:c r="M217" t="n">
        <x:f>'Catalogo Ferramenta'!L217</x:f>
        <x:v>0</x:v>
      </x:c>
      <x:c r="N217" t="n">
        <x:f>'Catalogo Ferramenta'!M217</x:f>
        <x:v>0</x:v>
      </x:c>
      <x:c r="O217" t="str">
        <x:f>'Catalogo Ferramenta'!N217</x:f>
        <x:v>BLACK+DECKER</x:v>
      </x:c>
      <x:c r="P217" t="str">
        <x:f>'Catalogo Ferramenta'!P217</x:f>
        <x:v>Catalogo Black+Decker Lo Specialista 2026, pagina 108. Prezzi se presenti: raccomandati dal catalogo.</x:v>
      </x:c>
      <x:c r="Q217" s="14" t="n">
        <x:f>'Catalogo Ferramenta'!R217</x:f>
        <x:v>108</x:v>
      </x:c>
      <x:c r="R217" t="str">
        <x:f>'Catalogo Ferramenta'!S217</x:f>
        <x:v>B+D_CATALOGO Lo Specialista 2026.pdf</x:v>
      </x:c>
      <x:c r="S217" s="45" t="b">
        <x:f>AND(D217&lt;&gt;"",B217&lt;&gt;"")</x:f>
        <x:v>1</x:v>
      </x:c>
      <x:c r="T217" t="str">
        <x:f>TEXTJOIN("; ",TRUE,IF(D217="","manca nome",""),IF(B217="","manca barcode",""),IF(H217=0,"prezzo costo da compilare",""),IF(I217=0,"prezzo vendita da compilare",""),IF(K217=0,"quantità da compilare",""))</x:f>
        <x:v>quantità da compilare</x:v>
      </x:c>
    </x:row>
    <x:row r="218">
      <x:c r="A218" t="str">
        <x:f>'Catalogo Ferramenta'!A218</x:f>
        <x:v>BD-0217</x:v>
      </x:c>
      <x:c r="B218" t="str">
        <x:f>'Catalogo Ferramenta'!B218</x:f>
        <x:v>5035048470558</x:v>
      </x:c>
      <x:c r="C218" t="str">
        <x:f>'Catalogo Ferramenta'!C218</x:f>
        <x:v>GKC1820L20-QW</x:v>
      </x:c>
      <x:c r="D218" t="str">
        <x:f>'Catalogo Ferramenta'!D218</x:f>
        <x:v>Elettrosega a batteria 18V</x:v>
      </x:c>
      <x:c r="E218" t="str">
        <x:f>'Catalogo Ferramenta'!E218</x:f>
        <x:v>BLACK+DECKER</x:v>
      </x:c>
      <x:c r="F218" t="str">
        <x:f>'Catalogo Ferramenta'!F218</x:f>
        <x:v>GAMMA GIARDINO</x:v>
      </x:c>
      <x:c r="G218" t="str">
        <x:f>'Catalogo Ferramenta'!G218</x:f>
        <x:v>ELETTROSEGHE E POTATORI</x:v>
      </x:c>
      <x:c r="H218" s="12" t="n">
        <x:f>IF('Catalogo Ferramenta'!H218="",0,'Catalogo Ferramenta'!H218)</x:f>
        <x:v>114.7</x:v>
      </x:c>
      <x:c r="I218" s="12" t="n">
        <x:f>IF('Catalogo Ferramenta'!I218="",0,'Catalogo Ferramenta'!I218)</x:f>
        <x:v>139.9</x:v>
      </x:c>
      <x:c r="J218" s="14" t="n">
        <x:f>IF('Catalogo Ferramenta'!J218="",22,'Catalogo Ferramenta'!J218)</x:f>
        <x:v>22</x:v>
      </x:c>
      <x:c r="K218" s="14" t="n">
        <x:f>IF('Catalogo Ferramenta'!K218="",0,'Catalogo Ferramenta'!K218)</x:f>
        <x:v>0</x:v>
      </x:c>
      <x:c r="L218" s="14" t="n">
        <x:f>1</x:f>
        <x:v>1</x:v>
      </x:c>
      <x:c r="M218" t="n">
        <x:f>'Catalogo Ferramenta'!L218</x:f>
        <x:v>0</x:v>
      </x:c>
      <x:c r="N218" t="n">
        <x:f>'Catalogo Ferramenta'!M218</x:f>
        <x:v>0</x:v>
      </x:c>
      <x:c r="O218" t="str">
        <x:f>'Catalogo Ferramenta'!N218</x:f>
        <x:v>BLACK+DECKER</x:v>
      </x:c>
      <x:c r="P218" t="str">
        <x:f>'Catalogo Ferramenta'!P218</x:f>
        <x:v>Catalogo Black+Decker Lo Specialista 2026, pagina 105. Prezzi se presenti: raccomandati dal catalogo.</x:v>
      </x:c>
      <x:c r="Q218" s="14" t="n">
        <x:f>'Catalogo Ferramenta'!R218</x:f>
        <x:v>105</x:v>
      </x:c>
      <x:c r="R218" t="str">
        <x:f>'Catalogo Ferramenta'!S218</x:f>
        <x:v>B+D_CATALOGO Lo Specialista 2026.pdf</x:v>
      </x:c>
      <x:c r="S218" s="45" t="b">
        <x:f>AND(D218&lt;&gt;"",B218&lt;&gt;"")</x:f>
        <x:v>1</x:v>
      </x:c>
      <x:c r="T218" t="str">
        <x:f>TEXTJOIN("; ",TRUE,IF(D218="","manca nome",""),IF(B218="","manca barcode",""),IF(H218=0,"prezzo costo da compilare",""),IF(I218=0,"prezzo vendita da compilare",""),IF(K218=0,"quantità da compilare",""))</x:f>
        <x:v>quantità da compilare</x:v>
      </x:c>
    </x:row>
    <x:row r="219">
      <x:c r="A219" t="str">
        <x:f>'Catalogo Ferramenta'!A219</x:f>
        <x:v>BD-0218</x:v>
      </x:c>
      <x:c r="B219" t="str">
        <x:f>'Catalogo Ferramenta'!B219</x:f>
        <x:v>5035048437858</x:v>
      </x:c>
      <x:c r="C219" t="str">
        <x:f>'Catalogo Ferramenta'!C219</x:f>
        <x:v>GKC1820LB-QW</x:v>
      </x:c>
      <x:c r="D219" t="str">
        <x:f>'Catalogo Ferramenta'!D219</x:f>
        <x:v>Elettrosega a batteria 18V (solo corpo macchina)</x:v>
      </x:c>
      <x:c r="E219" t="str">
        <x:f>'Catalogo Ferramenta'!E219</x:f>
        <x:v>BLACK+DECKER</x:v>
      </x:c>
      <x:c r="F219" t="str">
        <x:f>'Catalogo Ferramenta'!F219</x:f>
        <x:v>GAMMA GIARDINO</x:v>
      </x:c>
      <x:c r="G219" t="str">
        <x:f>'Catalogo Ferramenta'!G219</x:f>
        <x:v>ELETTROSEGHE E POTATORI</x:v>
      </x:c>
      <x:c r="H219" s="12" t="n">
        <x:f>IF('Catalogo Ferramenta'!H219="",0,'Catalogo Ferramenta'!H219)</x:f>
        <x:v>73.7</x:v>
      </x:c>
      <x:c r="I219" s="12" t="n">
        <x:f>IF('Catalogo Ferramenta'!I219="",0,'Catalogo Ferramenta'!I219)</x:f>
        <x:v>89.9</x:v>
      </x:c>
      <x:c r="J219" s="14" t="n">
        <x:f>IF('Catalogo Ferramenta'!J219="",22,'Catalogo Ferramenta'!J219)</x:f>
        <x:v>22</x:v>
      </x:c>
      <x:c r="K219" s="14" t="n">
        <x:f>IF('Catalogo Ferramenta'!K219="",0,'Catalogo Ferramenta'!K219)</x:f>
        <x:v>0</x:v>
      </x:c>
      <x:c r="L219" s="14" t="n">
        <x:f>1</x:f>
        <x:v>1</x:v>
      </x:c>
      <x:c r="M219" t="n">
        <x:f>'Catalogo Ferramenta'!L219</x:f>
        <x:v>0</x:v>
      </x:c>
      <x:c r="N219" t="n">
        <x:f>'Catalogo Ferramenta'!M219</x:f>
        <x:v>0</x:v>
      </x:c>
      <x:c r="O219" t="str">
        <x:f>'Catalogo Ferramenta'!N219</x:f>
        <x:v>BLACK+DECKER</x:v>
      </x:c>
      <x:c r="P219" t="str">
        <x:f>'Catalogo Ferramenta'!P219</x:f>
        <x:v>Catalogo Black+Decker Lo Specialista 2026, pagina 105. Prezzi se presenti: raccomandati dal catalogo.</x:v>
      </x:c>
      <x:c r="Q219" s="14" t="n">
        <x:f>'Catalogo Ferramenta'!R219</x:f>
        <x:v>105</x:v>
      </x:c>
      <x:c r="R219" t="str">
        <x:f>'Catalogo Ferramenta'!S219</x:f>
        <x:v>B+D_CATALOGO Lo Specialista 2026.pdf</x:v>
      </x:c>
      <x:c r="S219" s="45" t="b">
        <x:f>AND(D219&lt;&gt;"",B219&lt;&gt;"")</x:f>
        <x:v>1</x:v>
      </x:c>
      <x:c r="T219" t="str">
        <x:f>TEXTJOIN("; ",TRUE,IF(D219="","manca nome",""),IF(B219="","manca barcode",""),IF(H219=0,"prezzo costo da compilare",""),IF(I219=0,"prezzo vendita da compilare",""),IF(K219=0,"quantità da compilare",""))</x:f>
        <x:v>quantità da compilare</x:v>
      </x:c>
    </x:row>
    <x:row r="220">
      <x:c r="A220" t="str">
        <x:f>'Catalogo Ferramenta'!A220</x:f>
        <x:v>BD-0219</x:v>
      </x:c>
      <x:c r="B220" t="str">
        <x:f>'Catalogo Ferramenta'!B220</x:f>
        <x:v>5035048465936</x:v>
      </x:c>
      <x:c r="C220" t="str">
        <x:f>'Catalogo Ferramenta'!C220</x:f>
        <x:v>GKC1825L20-QW</x:v>
      </x:c>
      <x:c r="D220" t="str">
        <x:f>'Catalogo Ferramenta'!D220</x:f>
        <x:v>Elettrosega a batteria 18V</x:v>
      </x:c>
      <x:c r="E220" t="str">
        <x:f>'Catalogo Ferramenta'!E220</x:f>
        <x:v>BLACK+DECKER</x:v>
      </x:c>
      <x:c r="F220" t="str">
        <x:f>'Catalogo Ferramenta'!F220</x:f>
        <x:v>GAMMA GIARDINO</x:v>
      </x:c>
      <x:c r="G220" t="str">
        <x:f>'Catalogo Ferramenta'!G220</x:f>
        <x:v>ELETTROSEGHE E POTATORI</x:v>
      </x:c>
      <x:c r="H220" s="12" t="n">
        <x:f>IF('Catalogo Ferramenta'!H220="",0,'Catalogo Ferramenta'!H220)</x:f>
        <x:v>139.3</x:v>
      </x:c>
      <x:c r="I220" s="12" t="n">
        <x:f>IF('Catalogo Ferramenta'!I220="",0,'Catalogo Ferramenta'!I220)</x:f>
        <x:v>169.9</x:v>
      </x:c>
      <x:c r="J220" s="14" t="n">
        <x:f>IF('Catalogo Ferramenta'!J220="",22,'Catalogo Ferramenta'!J220)</x:f>
        <x:v>22</x:v>
      </x:c>
      <x:c r="K220" s="14" t="n">
        <x:f>IF('Catalogo Ferramenta'!K220="",0,'Catalogo Ferramenta'!K220)</x:f>
        <x:v>0</x:v>
      </x:c>
      <x:c r="L220" s="14" t="n">
        <x:f>1</x:f>
        <x:v>1</x:v>
      </x:c>
      <x:c r="M220" t="n">
        <x:f>'Catalogo Ferramenta'!L220</x:f>
        <x:v>0</x:v>
      </x:c>
      <x:c r="N220" t="n">
        <x:f>'Catalogo Ferramenta'!M220</x:f>
        <x:v>0</x:v>
      </x:c>
      <x:c r="O220" t="str">
        <x:f>'Catalogo Ferramenta'!N220</x:f>
        <x:v>BLACK+DECKER</x:v>
      </x:c>
      <x:c r="P220" t="str">
        <x:f>'Catalogo Ferramenta'!P220</x:f>
        <x:v>Catalogo Black+Decker Lo Specialista 2026, pagina 106. Prezzi se presenti: raccomandati dal catalogo.</x:v>
      </x:c>
      <x:c r="Q220" s="14" t="n">
        <x:f>'Catalogo Ferramenta'!R220</x:f>
        <x:v>106</x:v>
      </x:c>
      <x:c r="R220" t="str">
        <x:f>'Catalogo Ferramenta'!S220</x:f>
        <x:v>B+D_CATALOGO Lo Specialista 2026.pdf</x:v>
      </x:c>
      <x:c r="S220" s="45" t="b">
        <x:f>AND(D220&lt;&gt;"",B220&lt;&gt;"")</x:f>
        <x:v>1</x:v>
      </x:c>
      <x:c r="T220" t="str">
        <x:f>TEXTJOIN("; ",TRUE,IF(D220="","manca nome",""),IF(B220="","manca barcode",""),IF(H220=0,"prezzo costo da compilare",""),IF(I220=0,"prezzo vendita da compilare",""),IF(K220=0,"quantità da compilare",""))</x:f>
        <x:v>quantità da compilare</x:v>
      </x:c>
    </x:row>
    <x:row r="221">
      <x:c r="A221" t="str">
        <x:f>'Catalogo Ferramenta'!A221</x:f>
        <x:v>BD-0220</x:v>
      </x:c>
      <x:c r="B221" t="str">
        <x:f>'Catalogo Ferramenta'!B221</x:f>
        <x:v>5035048651384</x:v>
      </x:c>
      <x:c r="C221" t="str">
        <x:f>'Catalogo Ferramenta'!C221</x:f>
        <x:v>GKC1825LB-XJ</x:v>
      </x:c>
      <x:c r="D221" t="str">
        <x:f>'Catalogo Ferramenta'!D221</x:f>
        <x:v>Elettrosega a batteria 18V (solo corpo macchina)</x:v>
      </x:c>
      <x:c r="E221" t="str">
        <x:f>'Catalogo Ferramenta'!E221</x:f>
        <x:v>BLACK+DECKER</x:v>
      </x:c>
      <x:c r="F221" t="str">
        <x:f>'Catalogo Ferramenta'!F221</x:f>
        <x:v>GAMMA GIARDINO</x:v>
      </x:c>
      <x:c r="G221" t="str">
        <x:f>'Catalogo Ferramenta'!G221</x:f>
        <x:v>ELETTROSEGHE E POTATORI</x:v>
      </x:c>
      <x:c r="H221" s="12" t="n">
        <x:f>IF('Catalogo Ferramenta'!H221="",0,'Catalogo Ferramenta'!H221)</x:f>
        <x:v>90.5</x:v>
      </x:c>
      <x:c r="I221" s="12" t="n">
        <x:f>IF('Catalogo Ferramenta'!I221="",0,'Catalogo Ferramenta'!I221)</x:f>
        <x:v>110.4</x:v>
      </x:c>
      <x:c r="J221" s="14" t="n">
        <x:f>IF('Catalogo Ferramenta'!J221="",22,'Catalogo Ferramenta'!J221)</x:f>
        <x:v>22</x:v>
      </x:c>
      <x:c r="K221" s="14" t="n">
        <x:f>IF('Catalogo Ferramenta'!K221="",0,'Catalogo Ferramenta'!K221)</x:f>
        <x:v>0</x:v>
      </x:c>
      <x:c r="L221" s="14" t="n">
        <x:f>1</x:f>
        <x:v>1</x:v>
      </x:c>
      <x:c r="M221" t="n">
        <x:f>'Catalogo Ferramenta'!L221</x:f>
        <x:v>0</x:v>
      </x:c>
      <x:c r="N221" t="n">
        <x:f>'Catalogo Ferramenta'!M221</x:f>
        <x:v>0</x:v>
      </x:c>
      <x:c r="O221" t="str">
        <x:f>'Catalogo Ferramenta'!N221</x:f>
        <x:v>BLACK+DECKER</x:v>
      </x:c>
      <x:c r="P221" t="str">
        <x:f>'Catalogo Ferramenta'!P221</x:f>
        <x:v>Catalogo Black+Decker Lo Specialista 2026, pagina 106. Prezzi se presenti: raccomandati dal catalogo.</x:v>
      </x:c>
      <x:c r="Q221" s="14" t="n">
        <x:f>'Catalogo Ferramenta'!R221</x:f>
        <x:v>106</x:v>
      </x:c>
      <x:c r="R221" t="str">
        <x:f>'Catalogo Ferramenta'!S221</x:f>
        <x:v>B+D_CATALOGO Lo Specialista 2026.pdf</x:v>
      </x:c>
      <x:c r="S221" s="45" t="b">
        <x:f>AND(D221&lt;&gt;"",B221&lt;&gt;"")</x:f>
        <x:v>1</x:v>
      </x:c>
      <x:c r="T221" t="str">
        <x:f>TEXTJOIN("; ",TRUE,IF(D221="","manca nome",""),IF(B221="","manca barcode",""),IF(H221=0,"prezzo costo da compilare",""),IF(I221=0,"prezzo vendita da compilare",""),IF(K221=0,"quantità da compilare",""))</x:f>
        <x:v>quantità da compilare</x:v>
      </x:c>
    </x:row>
    <x:row r="222">
      <x:c r="A222" t="str">
        <x:f>'Catalogo Ferramenta'!A222</x:f>
        <x:v>BD-0221</x:v>
      </x:c>
      <x:c r="B222" t="str">
        <x:f>'Catalogo Ferramenta'!B222</x:f>
        <x:v>5035048480731</x:v>
      </x:c>
      <x:c r="C222" t="str">
        <x:f>'Catalogo Ferramenta'!C222</x:f>
        <x:v>GKC3630L20-QW</x:v>
      </x:c>
      <x:c r="D222" t="str">
        <x:f>'Catalogo Ferramenta'!D222</x:f>
        <x:v>Elettrosega a batteria 36V</x:v>
      </x:c>
      <x:c r="E222" t="str">
        <x:f>'Catalogo Ferramenta'!E222</x:f>
        <x:v>BLACK+DECKER</x:v>
      </x:c>
      <x:c r="F222" t="str">
        <x:f>'Catalogo Ferramenta'!F222</x:f>
        <x:v>GAMMA GIARDINO</x:v>
      </x:c>
      <x:c r="G222" t="str">
        <x:f>'Catalogo Ferramenta'!G222</x:f>
        <x:v>ELETTROSEGHE E POTATORI</x:v>
      </x:c>
      <x:c r="H222" s="12" t="n">
        <x:f>IF('Catalogo Ferramenta'!H222="",0,'Catalogo Ferramenta'!H222)</x:f>
        <x:v>225.3</x:v>
      </x:c>
      <x:c r="I222" s="12" t="n">
        <x:f>IF('Catalogo Ferramenta'!I222="",0,'Catalogo Ferramenta'!I222)</x:f>
        <x:v>274.9</x:v>
      </x:c>
      <x:c r="J222" s="14" t="n">
        <x:f>IF('Catalogo Ferramenta'!J222="",22,'Catalogo Ferramenta'!J222)</x:f>
        <x:v>22</x:v>
      </x:c>
      <x:c r="K222" s="14" t="n">
        <x:f>IF('Catalogo Ferramenta'!K222="",0,'Catalogo Ferramenta'!K222)</x:f>
        <x:v>0</x:v>
      </x:c>
      <x:c r="L222" s="14" t="n">
        <x:f>1</x:f>
        <x:v>1</x:v>
      </x:c>
      <x:c r="M222" t="n">
        <x:f>'Catalogo Ferramenta'!L222</x:f>
        <x:v>0</x:v>
      </x:c>
      <x:c r="N222" t="n">
        <x:f>'Catalogo Ferramenta'!M222</x:f>
        <x:v>0</x:v>
      </x:c>
      <x:c r="O222" t="str">
        <x:f>'Catalogo Ferramenta'!N222</x:f>
        <x:v>BLACK+DECKER</x:v>
      </x:c>
      <x:c r="P222" t="str">
        <x:f>'Catalogo Ferramenta'!P222</x:f>
        <x:v>Catalogo Black+Decker Lo Specialista 2026, pagina 106. Prezzi se presenti: raccomandati dal catalogo.</x:v>
      </x:c>
      <x:c r="Q222" s="14" t="n">
        <x:f>'Catalogo Ferramenta'!R222</x:f>
        <x:v>106</x:v>
      </x:c>
      <x:c r="R222" t="str">
        <x:f>'Catalogo Ferramenta'!S222</x:f>
        <x:v>B+D_CATALOGO Lo Specialista 2026.pdf</x:v>
      </x:c>
      <x:c r="S222" s="45" t="b">
        <x:f>AND(D222&lt;&gt;"",B222&lt;&gt;"")</x:f>
        <x:v>1</x:v>
      </x:c>
      <x:c r="T222" t="str">
        <x:f>TEXTJOIN("; ",TRUE,IF(D222="","manca nome",""),IF(B222="","manca barcode",""),IF(H222=0,"prezzo costo da compilare",""),IF(I222=0,"prezzo vendita da compilare",""),IF(K222=0,"quantità da compilare",""))</x:f>
        <x:v>quantità da compilare</x:v>
      </x:c>
    </x:row>
    <x:row r="223">
      <x:c r="A223" t="str">
        <x:f>'Catalogo Ferramenta'!A223</x:f>
        <x:v>BD-0222</x:v>
      </x:c>
      <x:c r="B223" t="str">
        <x:f>'Catalogo Ferramenta'!B223</x:f>
        <x:v>5035048307731</x:v>
      </x:c>
      <x:c r="C223" t="str">
        <x:f>'Catalogo Ferramenta'!C223</x:f>
        <x:v>GL250-QS</x:v>
      </x:c>
      <x:c r="D223" t="str">
        <x:f>'Catalogo Ferramenta'!D223</x:f>
        <x:v>Tagliabordi a filo 250W</x:v>
      </x:c>
      <x:c r="E223" t="str">
        <x:f>'Catalogo Ferramenta'!E223</x:f>
        <x:v>BLACK+DECKER</x:v>
      </x:c>
      <x:c r="F223" t="str">
        <x:f>'Catalogo Ferramenta'!F223</x:f>
        <x:v>GAMMA GIARDINO</x:v>
      </x:c>
      <x:c r="G223" t="str">
        <x:f>'Catalogo Ferramenta'!G223</x:f>
        <x:v>TAGLIABORDI</x:v>
      </x:c>
      <x:c r="H223" s="12" t="n">
        <x:f>IF('Catalogo Ferramenta'!H223="",0,'Catalogo Ferramenta'!H223)</x:f>
        <x:v>24.9</x:v>
      </x:c>
      <x:c r="I223" s="12" t="n">
        <x:f>IF('Catalogo Ferramenta'!I223="",0,'Catalogo Ferramenta'!I223)</x:f>
        <x:v>30.4</x:v>
      </x:c>
      <x:c r="J223" s="14" t="n">
        <x:f>IF('Catalogo Ferramenta'!J223="",22,'Catalogo Ferramenta'!J223)</x:f>
        <x:v>22</x:v>
      </x:c>
      <x:c r="K223" s="14" t="n">
        <x:f>IF('Catalogo Ferramenta'!K223="",0,'Catalogo Ferramenta'!K223)</x:f>
        <x:v>0</x:v>
      </x:c>
      <x:c r="L223" s="14" t="n">
        <x:f>1</x:f>
        <x:v>1</x:v>
      </x:c>
      <x:c r="M223" t="n">
        <x:f>'Catalogo Ferramenta'!L223</x:f>
        <x:v>0</x:v>
      </x:c>
      <x:c r="N223" t="n">
        <x:f>'Catalogo Ferramenta'!M223</x:f>
        <x:v>0</x:v>
      </x:c>
      <x:c r="O223" t="str">
        <x:f>'Catalogo Ferramenta'!N223</x:f>
        <x:v>BLACK+DECKER</x:v>
      </x:c>
      <x:c r="P223" t="str">
        <x:f>'Catalogo Ferramenta'!P223</x:f>
        <x:v>Catalogo Black+Decker Lo Specialista 2026, pagina 91. Prezzi se presenti: raccomandati dal catalogo.</x:v>
      </x:c>
      <x:c r="Q223" s="14" t="n">
        <x:f>'Catalogo Ferramenta'!R223</x:f>
        <x:v>91</x:v>
      </x:c>
      <x:c r="R223" t="str">
        <x:f>'Catalogo Ferramenta'!S223</x:f>
        <x:v>B+D_CATALOGO Lo Specialista 2026.pdf</x:v>
      </x:c>
      <x:c r="S223" s="45" t="b">
        <x:f>AND(D223&lt;&gt;"",B223&lt;&gt;"")</x:f>
        <x:v>1</x:v>
      </x:c>
      <x:c r="T223" t="str">
        <x:f>TEXTJOIN("; ",TRUE,IF(D223="","manca nome",""),IF(B223="","manca barcode",""),IF(H223=0,"prezzo costo da compilare",""),IF(I223=0,"prezzo vendita da compilare",""),IF(K223=0,"quantità da compilare",""))</x:f>
        <x:v>quantità da compilare</x:v>
      </x:c>
    </x:row>
    <x:row r="224">
      <x:c r="A224" t="str">
        <x:f>'Catalogo Ferramenta'!A224</x:f>
        <x:v>BD-0223</x:v>
      </x:c>
      <x:c r="B224" t="str">
        <x:f>'Catalogo Ferramenta'!B224</x:f>
        <x:v>5035048307694</x:v>
      </x:c>
      <x:c r="C224" t="str">
        <x:f>'Catalogo Ferramenta'!C224</x:f>
        <x:v>GL360-QS</x:v>
      </x:c>
      <x:c r="D224" t="str">
        <x:f>'Catalogo Ferramenta'!D224</x:f>
        <x:v>Tagliabordi a filo 350W</x:v>
      </x:c>
      <x:c r="E224" t="str">
        <x:f>'Catalogo Ferramenta'!E224</x:f>
        <x:v>BLACK+DECKER</x:v>
      </x:c>
      <x:c r="F224" t="str">
        <x:f>'Catalogo Ferramenta'!F224</x:f>
        <x:v>GAMMA GIARDINO</x:v>
      </x:c>
      <x:c r="G224" t="str">
        <x:f>'Catalogo Ferramenta'!G224</x:f>
        <x:v>TAGLIABORDI</x:v>
      </x:c>
      <x:c r="H224" s="12" t="n">
        <x:f>IF('Catalogo Ferramenta'!H224="",0,'Catalogo Ferramenta'!H224)</x:f>
        <x:v>32.7</x:v>
      </x:c>
      <x:c r="I224" s="12" t="n">
        <x:f>IF('Catalogo Ferramenta'!I224="",0,'Catalogo Ferramenta'!I224)</x:f>
        <x:v>39.9</x:v>
      </x:c>
      <x:c r="J224" s="14" t="n">
        <x:f>IF('Catalogo Ferramenta'!J224="",22,'Catalogo Ferramenta'!J224)</x:f>
        <x:v>22</x:v>
      </x:c>
      <x:c r="K224" s="14" t="n">
        <x:f>IF('Catalogo Ferramenta'!K224="",0,'Catalogo Ferramenta'!K224)</x:f>
        <x:v>0</x:v>
      </x:c>
      <x:c r="L224" s="14" t="n">
        <x:f>1</x:f>
        <x:v>1</x:v>
      </x:c>
      <x:c r="M224" t="n">
        <x:f>'Catalogo Ferramenta'!L224</x:f>
        <x:v>0</x:v>
      </x:c>
      <x:c r="N224" t="n">
        <x:f>'Catalogo Ferramenta'!M224</x:f>
        <x:v>0</x:v>
      </x:c>
      <x:c r="O224" t="str">
        <x:f>'Catalogo Ferramenta'!N224</x:f>
        <x:v>BLACK+DECKER</x:v>
      </x:c>
      <x:c r="P224" t="str">
        <x:f>'Catalogo Ferramenta'!P224</x:f>
        <x:v>Catalogo Black+Decker Lo Specialista 2026, pagina 91. Prezzi se presenti: raccomandati dal catalogo.</x:v>
      </x:c>
      <x:c r="Q224" s="14" t="n">
        <x:f>'Catalogo Ferramenta'!R224</x:f>
        <x:v>91</x:v>
      </x:c>
      <x:c r="R224" t="str">
        <x:f>'Catalogo Ferramenta'!S224</x:f>
        <x:v>B+D_CATALOGO Lo Specialista 2026.pdf</x:v>
      </x:c>
      <x:c r="S224" s="45" t="b">
        <x:f>AND(D224&lt;&gt;"",B224&lt;&gt;"")</x:f>
        <x:v>1</x:v>
      </x:c>
      <x:c r="T224" t="str">
        <x:f>TEXTJOIN("; ",TRUE,IF(D224="","manca nome",""),IF(B224="","manca barcode",""),IF(H224=0,"prezzo costo da compilare",""),IF(I224=0,"prezzo vendita da compilare",""),IF(K224=0,"quantità da compilare",""))</x:f>
        <x:v>quantità da compilare</x:v>
      </x:c>
    </x:row>
    <x:row r="225">
      <x:c r="A225" t="str">
        <x:f>'Catalogo Ferramenta'!A225</x:f>
        <x:v>BD-0224</x:v>
      </x:c>
      <x:c r="B225" t="str">
        <x:f>'Catalogo Ferramenta'!B225</x:f>
        <x:v>5035048435052</x:v>
      </x:c>
      <x:c r="C225" t="str">
        <x:f>'Catalogo Ferramenta'!C225</x:f>
        <x:v>GL7033-QS</x:v>
      </x:c>
      <x:c r="D225" t="str">
        <x:f>'Catalogo Ferramenta'!D225</x:f>
        <x:v>Tagliabordi a filo 700W</x:v>
      </x:c>
      <x:c r="E225" t="str">
        <x:f>'Catalogo Ferramenta'!E225</x:f>
        <x:v>BLACK+DECKER</x:v>
      </x:c>
      <x:c r="F225" t="str">
        <x:f>'Catalogo Ferramenta'!F225</x:f>
        <x:v>GAMMA GIARDINO</x:v>
      </x:c>
      <x:c r="G225" t="str">
        <x:f>'Catalogo Ferramenta'!G225</x:f>
        <x:v>TAGLIABORDI</x:v>
      </x:c>
      <x:c r="H225" s="12" t="n">
        <x:f>IF('Catalogo Ferramenta'!H225="",0,'Catalogo Ferramenta'!H225)</x:f>
        <x:v>73.7</x:v>
      </x:c>
      <x:c r="I225" s="12" t="n">
        <x:f>IF('Catalogo Ferramenta'!I225="",0,'Catalogo Ferramenta'!I225)</x:f>
        <x:v>89.9</x:v>
      </x:c>
      <x:c r="J225" s="14" t="n">
        <x:f>IF('Catalogo Ferramenta'!J225="",22,'Catalogo Ferramenta'!J225)</x:f>
        <x:v>22</x:v>
      </x:c>
      <x:c r="K225" s="14" t="n">
        <x:f>IF('Catalogo Ferramenta'!K225="",0,'Catalogo Ferramenta'!K225)</x:f>
        <x:v>0</x:v>
      </x:c>
      <x:c r="L225" s="14" t="n">
        <x:f>1</x:f>
        <x:v>1</x:v>
      </x:c>
      <x:c r="M225" t="n">
        <x:f>'Catalogo Ferramenta'!L225</x:f>
        <x:v>0</x:v>
      </x:c>
      <x:c r="N225" t="n">
        <x:f>'Catalogo Ferramenta'!M225</x:f>
        <x:v>0</x:v>
      </x:c>
      <x:c r="O225" t="str">
        <x:f>'Catalogo Ferramenta'!N225</x:f>
        <x:v>BLACK+DECKER</x:v>
      </x:c>
      <x:c r="P225" t="str">
        <x:f>'Catalogo Ferramenta'!P225</x:f>
        <x:v>Catalogo Black+Decker Lo Specialista 2026, pagina 93. Prezzi se presenti: raccomandati dal catalogo.</x:v>
      </x:c>
      <x:c r="Q225" s="14" t="n">
        <x:f>'Catalogo Ferramenta'!R225</x:f>
        <x:v>93</x:v>
      </x:c>
      <x:c r="R225" t="str">
        <x:f>'Catalogo Ferramenta'!S225</x:f>
        <x:v>B+D_CATALOGO Lo Specialista 2026.pdf</x:v>
      </x:c>
      <x:c r="S225" s="45" t="b">
        <x:f>AND(D225&lt;&gt;"",B225&lt;&gt;"")</x:f>
        <x:v>1</x:v>
      </x:c>
      <x:c r="T225" t="str">
        <x:f>TEXTJOIN("; ",TRUE,IF(D225="","manca nome",""),IF(B225="","manca barcode",""),IF(H225=0,"prezzo costo da compilare",""),IF(I225=0,"prezzo vendita da compilare",""),IF(K225=0,"quantità da compilare",""))</x:f>
        <x:v>quantità da compilare</x:v>
      </x:c>
    </x:row>
    <x:row r="226">
      <x:c r="A226" t="str">
        <x:f>'Catalogo Ferramenta'!A226</x:f>
        <x:v>BD-0225</x:v>
      </x:c>
      <x:c r="B226" t="str">
        <x:f>'Catalogo Ferramenta'!B226</x:f>
        <x:v>5035048435038</x:v>
      </x:c>
      <x:c r="C226" t="str">
        <x:f>'Catalogo Ferramenta'!C226</x:f>
        <x:v>GL9035-QS</x:v>
      </x:c>
      <x:c r="D226" t="str">
        <x:f>'Catalogo Ferramenta'!D226</x:f>
        <x:v>Tagliabordi a filo 900W</x:v>
      </x:c>
      <x:c r="E226" t="str">
        <x:f>'Catalogo Ferramenta'!E226</x:f>
        <x:v>BLACK+DECKER</x:v>
      </x:c>
      <x:c r="F226" t="str">
        <x:f>'Catalogo Ferramenta'!F226</x:f>
        <x:v>GAMMA GIARDINO</x:v>
      </x:c>
      <x:c r="G226" t="str">
        <x:f>'Catalogo Ferramenta'!G226</x:f>
        <x:v>TAGLIABORDI</x:v>
      </x:c>
      <x:c r="H226" s="12" t="n">
        <x:f>IF('Catalogo Ferramenta'!H226="",0,'Catalogo Ferramenta'!H226)</x:f>
        <x:v>81.9</x:v>
      </x:c>
      <x:c r="I226" s="12" t="n">
        <x:f>IF('Catalogo Ferramenta'!I226="",0,'Catalogo Ferramenta'!I226)</x:f>
        <x:v>99.9</x:v>
      </x:c>
      <x:c r="J226" s="14" t="n">
        <x:f>IF('Catalogo Ferramenta'!J226="",22,'Catalogo Ferramenta'!J226)</x:f>
        <x:v>22</x:v>
      </x:c>
      <x:c r="K226" s="14" t="n">
        <x:f>IF('Catalogo Ferramenta'!K226="",0,'Catalogo Ferramenta'!K226)</x:f>
        <x:v>0</x:v>
      </x:c>
      <x:c r="L226" s="14" t="n">
        <x:f>1</x:f>
        <x:v>1</x:v>
      </x:c>
      <x:c r="M226" t="n">
        <x:f>'Catalogo Ferramenta'!L226</x:f>
        <x:v>0</x:v>
      </x:c>
      <x:c r="N226" t="n">
        <x:f>'Catalogo Ferramenta'!M226</x:f>
        <x:v>0</x:v>
      </x:c>
      <x:c r="O226" t="str">
        <x:f>'Catalogo Ferramenta'!N226</x:f>
        <x:v>BLACK+DECKER</x:v>
      </x:c>
      <x:c r="P226" t="str">
        <x:f>'Catalogo Ferramenta'!P226</x:f>
        <x:v>Catalogo Black+Decker Lo Specialista 2026, pagina 93. Prezzi se presenti: raccomandati dal catalogo.</x:v>
      </x:c>
      <x:c r="Q226" s="14" t="n">
        <x:f>'Catalogo Ferramenta'!R226</x:f>
        <x:v>93</x:v>
      </x:c>
      <x:c r="R226" t="str">
        <x:f>'Catalogo Ferramenta'!S226</x:f>
        <x:v>B+D_CATALOGO Lo Specialista 2026.pdf</x:v>
      </x:c>
      <x:c r="S226" s="45" t="b">
        <x:f>AND(D226&lt;&gt;"",B226&lt;&gt;"")</x:f>
        <x:v>1</x:v>
      </x:c>
      <x:c r="T226" t="str">
        <x:f>TEXTJOIN("; ",TRUE,IF(D226="","manca nome",""),IF(B226="","manca barcode",""),IF(H226=0,"prezzo costo da compilare",""),IF(I226=0,"prezzo vendita da compilare",""),IF(K226=0,"quantità da compilare",""))</x:f>
        <x:v>quantità da compilare</x:v>
      </x:c>
    </x:row>
    <x:row r="227">
      <x:c r="A227" t="str">
        <x:f>'Catalogo Ferramenta'!A227</x:f>
        <x:v>BD-0226</x:v>
      </x:c>
      <x:c r="B227" t="str">
        <x:f>'Catalogo Ferramenta'!B227</x:f>
        <x:v>5035048470596</x:v>
      </x:c>
      <x:c r="C227" t="str">
        <x:f>'Catalogo Ferramenta'!C227</x:f>
        <x:v>GPC1820L20-QW</x:v>
      </x:c>
      <x:c r="D227" t="str">
        <x:f>'Catalogo Ferramenta'!D227</x:f>
        <x:v>Sega potatrice telescopica a batteria 18V</x:v>
      </x:c>
      <x:c r="E227" t="str">
        <x:f>'Catalogo Ferramenta'!E227</x:f>
        <x:v>BLACK+DECKER</x:v>
      </x:c>
      <x:c r="F227" t="str">
        <x:f>'Catalogo Ferramenta'!F227</x:f>
        <x:v>GAMMA GIARDINO</x:v>
      </x:c>
      <x:c r="G227" t="str">
        <x:f>'Catalogo Ferramenta'!G227</x:f>
        <x:v>ELETTROSEGHE E POTATORI</x:v>
      </x:c>
      <x:c r="H227" s="12" t="n">
        <x:f>IF('Catalogo Ferramenta'!H227="",0,'Catalogo Ferramenta'!H227)</x:f>
        <x:v>122.9</x:v>
      </x:c>
      <x:c r="I227" s="12" t="n">
        <x:f>IF('Catalogo Ferramenta'!I227="",0,'Catalogo Ferramenta'!I227)</x:f>
        <x:v>149.9</x:v>
      </x:c>
      <x:c r="J227" s="14" t="n">
        <x:f>IF('Catalogo Ferramenta'!J227="",22,'Catalogo Ferramenta'!J227)</x:f>
        <x:v>22</x:v>
      </x:c>
      <x:c r="K227" s="14" t="n">
        <x:f>IF('Catalogo Ferramenta'!K227="",0,'Catalogo Ferramenta'!K227)</x:f>
        <x:v>0</x:v>
      </x:c>
      <x:c r="L227" s="14" t="n">
        <x:f>1</x:f>
        <x:v>1</x:v>
      </x:c>
      <x:c r="M227" t="n">
        <x:f>'Catalogo Ferramenta'!L227</x:f>
        <x:v>0</x:v>
      </x:c>
      <x:c r="N227" t="n">
        <x:f>'Catalogo Ferramenta'!M227</x:f>
        <x:v>0</x:v>
      </x:c>
      <x:c r="O227" t="str">
        <x:f>'Catalogo Ferramenta'!N227</x:f>
        <x:v>BLACK+DECKER</x:v>
      </x:c>
      <x:c r="P227" t="str">
        <x:f>'Catalogo Ferramenta'!P227</x:f>
        <x:v>Catalogo Black+Decker Lo Specialista 2026, pagina 107. Prezzi se presenti: raccomandati dal catalogo.</x:v>
      </x:c>
      <x:c r="Q227" s="14" t="n">
        <x:f>'Catalogo Ferramenta'!R227</x:f>
        <x:v>107</x:v>
      </x:c>
      <x:c r="R227" t="str">
        <x:f>'Catalogo Ferramenta'!S227</x:f>
        <x:v>B+D_CATALOGO Lo Specialista 2026.pdf</x:v>
      </x:c>
      <x:c r="S227" s="45" t="b">
        <x:f>AND(D227&lt;&gt;"",B227&lt;&gt;"")</x:f>
        <x:v>1</x:v>
      </x:c>
      <x:c r="T227" t="str">
        <x:f>TEXTJOIN("; ",TRUE,IF(D227="","manca nome",""),IF(B227="","manca barcode",""),IF(H227=0,"prezzo costo da compilare",""),IF(I227=0,"prezzo vendita da compilare",""),IF(K227=0,"quantità da compilare",""))</x:f>
        <x:v>quantità da compilare</x:v>
      </x:c>
    </x:row>
    <x:row r="228">
      <x:c r="A228" t="str">
        <x:f>'Catalogo Ferramenta'!A228</x:f>
        <x:v>BD-0227</x:v>
      </x:c>
      <x:c r="B228" t="str">
        <x:f>'Catalogo Ferramenta'!B228</x:f>
        <x:v>5035048437827</x:v>
      </x:c>
      <x:c r="C228" t="str">
        <x:f>'Catalogo Ferramenta'!C228</x:f>
        <x:v>GPC1820LB-QW</x:v>
      </x:c>
      <x:c r="D228" t="str">
        <x:f>'Catalogo Ferramenta'!D228</x:f>
        <x:v>Sega potatrice a batteria 18V (solo corpo macchina)</x:v>
      </x:c>
      <x:c r="E228" t="str">
        <x:f>'Catalogo Ferramenta'!E228</x:f>
        <x:v>BLACK+DECKER</x:v>
      </x:c>
      <x:c r="F228" t="str">
        <x:f>'Catalogo Ferramenta'!F228</x:f>
        <x:v>GAMMA GIARDINO</x:v>
      </x:c>
      <x:c r="G228" t="str">
        <x:f>'Catalogo Ferramenta'!G228</x:f>
        <x:v>ELETTROSEGHE E POTATORI</x:v>
      </x:c>
      <x:c r="H228" s="12" t="n">
        <x:f>IF('Catalogo Ferramenta'!H228="",0,'Catalogo Ferramenta'!H228)</x:f>
        <x:v>90.1</x:v>
      </x:c>
      <x:c r="I228" s="12" t="n">
        <x:f>IF('Catalogo Ferramenta'!I228="",0,'Catalogo Ferramenta'!I228)</x:f>
        <x:v>109.9</x:v>
      </x:c>
      <x:c r="J228" s="14" t="n">
        <x:f>IF('Catalogo Ferramenta'!J228="",22,'Catalogo Ferramenta'!J228)</x:f>
        <x:v>22</x:v>
      </x:c>
      <x:c r="K228" s="14" t="n">
        <x:f>IF('Catalogo Ferramenta'!K228="",0,'Catalogo Ferramenta'!K228)</x:f>
        <x:v>0</x:v>
      </x:c>
      <x:c r="L228" s="14" t="n">
        <x:f>1</x:f>
        <x:v>1</x:v>
      </x:c>
      <x:c r="M228" t="n">
        <x:f>'Catalogo Ferramenta'!L228</x:f>
        <x:v>0</x:v>
      </x:c>
      <x:c r="N228" t="n">
        <x:f>'Catalogo Ferramenta'!M228</x:f>
        <x:v>0</x:v>
      </x:c>
      <x:c r="O228" t="str">
        <x:f>'Catalogo Ferramenta'!N228</x:f>
        <x:v>BLACK+DECKER</x:v>
      </x:c>
      <x:c r="P228" t="str">
        <x:f>'Catalogo Ferramenta'!P228</x:f>
        <x:v>Catalogo Black+Decker Lo Specialista 2026, pagina 107. Prezzi se presenti: raccomandati dal catalogo.</x:v>
      </x:c>
      <x:c r="Q228" s="14" t="n">
        <x:f>'Catalogo Ferramenta'!R228</x:f>
        <x:v>107</x:v>
      </x:c>
      <x:c r="R228" t="str">
        <x:f>'Catalogo Ferramenta'!S228</x:f>
        <x:v>B+D_CATALOGO Lo Specialista 2026.pdf</x:v>
      </x:c>
      <x:c r="S228" s="45" t="b">
        <x:f>AND(D228&lt;&gt;"",B228&lt;&gt;"")</x:f>
        <x:v>1</x:v>
      </x:c>
      <x:c r="T228" t="str">
        <x:f>TEXTJOIN("; ",TRUE,IF(D228="","manca nome",""),IF(B228="","manca barcode",""),IF(H228=0,"prezzo costo da compilare",""),IF(I228=0,"prezzo vendita da compilare",""),IF(K228=0,"quantità da compilare",""))</x:f>
        <x:v>quantità da compilare</x:v>
      </x:c>
    </x:row>
    <x:row r="229">
      <x:c r="A229" t="str">
        <x:f>'Catalogo Ferramenta'!A229</x:f>
        <x:v>BD-0228</x:v>
      </x:c>
      <x:c r="B229" t="str">
        <x:f>'Catalogo Ferramenta'!B229</x:f>
        <x:v>5035048290194</x:v>
      </x:c>
      <x:c r="C229" t="str">
        <x:f>'Catalogo Ferramenta'!C229</x:f>
        <x:v>GSL200-QW</x:v>
      </x:c>
      <x:c r="D229" t="str">
        <x:f>'Catalogo Ferramenta'!D229</x:f>
        <x:v>Cesoia a batteria 3.6V</x:v>
      </x:c>
      <x:c r="E229" t="str">
        <x:f>'Catalogo Ferramenta'!E229</x:f>
        <x:v>BLACK+DECKER</x:v>
      </x:c>
      <x:c r="F229" t="str">
        <x:f>'Catalogo Ferramenta'!F229</x:f>
        <x:v>GAMMA GIARDINO</x:v>
      </x:c>
      <x:c r="G229" t="str">
        <x:f>'Catalogo Ferramenta'!G229</x:f>
        <x:v>TAGLIASIEPI E CESOIE</x:v>
      </x:c>
      <x:c r="H229" s="12" t="n">
        <x:f>IF('Catalogo Ferramenta'!H229="",0,'Catalogo Ferramenta'!H229)</x:f>
        <x:v>0</x:v>
      </x:c>
      <x:c r="I229" s="12" t="n">
        <x:f>IF('Catalogo Ferramenta'!I229="",0,'Catalogo Ferramenta'!I229)</x:f>
        <x:v>49.9</x:v>
      </x:c>
      <x:c r="J229" s="14" t="n">
        <x:f>IF('Catalogo Ferramenta'!J229="",22,'Catalogo Ferramenta'!J229)</x:f>
        <x:v>22</x:v>
      </x:c>
      <x:c r="K229" s="14" t="n">
        <x:f>IF('Catalogo Ferramenta'!K229="",0,'Catalogo Ferramenta'!K229)</x:f>
        <x:v>0</x:v>
      </x:c>
      <x:c r="L229" s="14" t="n">
        <x:f>1</x:f>
        <x:v>1</x:v>
      </x:c>
      <x:c r="M229" t="n">
        <x:f>'Catalogo Ferramenta'!L229</x:f>
        <x:v>0</x:v>
      </x:c>
      <x:c r="N229" t="n">
        <x:f>'Catalogo Ferramenta'!M229</x:f>
        <x:v>0</x:v>
      </x:c>
      <x:c r="O229" t="str">
        <x:f>'Catalogo Ferramenta'!N229</x:f>
        <x:v>BLACK+DECKER</x:v>
      </x:c>
      <x:c r="P229" t="str">
        <x:f>'Catalogo Ferramenta'!P229</x:f>
        <x:v>Catalogo Black+Decker Lo Specialista 2026, pagina 116. Prezzi se presenti: raccomandati dal catalogo.</x:v>
      </x:c>
      <x:c r="Q229" s="14" t="n">
        <x:f>'Catalogo Ferramenta'!R229</x:f>
        <x:v>116</x:v>
      </x:c>
      <x:c r="R229" t="str">
        <x:f>'Catalogo Ferramenta'!S229</x:f>
        <x:v>B+D_CATALOGO Lo Specialista 2026.pdf</x:v>
      </x:c>
      <x:c r="S229" s="45" t="b">
        <x:f>AND(D229&lt;&gt;"",B229&lt;&gt;"")</x:f>
        <x:v>1</x:v>
      </x:c>
      <x:c r="T229" t="str">
        <x:f>TEXTJOIN("; ",TRUE,IF(D229="","manca nome",""),IF(B229="","manca barcode",""),IF(H229=0,"prezzo costo da compilare",""),IF(I229=0,"prezzo vendita da compilare",""),IF(K229=0,"quantità da compilare",""))</x:f>
        <x:v>prezzo costo da compilare; quantità da compilare</x:v>
      </x:c>
    </x:row>
    <x:row r="230">
      <x:c r="A230" t="str">
        <x:f>'Catalogo Ferramenta'!A230</x:f>
        <x:v>BD-0229</x:v>
      </x:c>
      <x:c r="B230" t="str">
        <x:f>'Catalogo Ferramenta'!B230</x:f>
        <x:v>5035048290224</x:v>
      </x:c>
      <x:c r="C230" t="str">
        <x:f>'Catalogo Ferramenta'!C230</x:f>
        <x:v>GSL300-QW</x:v>
      </x:c>
      <x:c r="D230" t="str">
        <x:f>'Catalogo Ferramenta'!D230</x:f>
        <x:v>Sfoltirami a batteria 3.6V</x:v>
      </x:c>
      <x:c r="E230" t="str">
        <x:f>'Catalogo Ferramenta'!E230</x:f>
        <x:v>BLACK+DECKER</x:v>
      </x:c>
      <x:c r="F230" t="str">
        <x:f>'Catalogo Ferramenta'!F230</x:f>
        <x:v>GAMMA GIARDINO</x:v>
      </x:c>
      <x:c r="G230" t="str">
        <x:f>'Catalogo Ferramenta'!G230</x:f>
        <x:v>TAGLIASIEPI E CESOIE</x:v>
      </x:c>
      <x:c r="H230" s="12" t="n">
        <x:f>IF('Catalogo Ferramenta'!H230="",0,'Catalogo Ferramenta'!H230)</x:f>
        <x:v>45</x:v>
      </x:c>
      <x:c r="I230" s="12" t="n">
        <x:f>IF('Catalogo Ferramenta'!I230="",0,'Catalogo Ferramenta'!I230)</x:f>
        <x:v>54.9</x:v>
      </x:c>
      <x:c r="J230" s="14" t="n">
        <x:f>IF('Catalogo Ferramenta'!J230="",22,'Catalogo Ferramenta'!J230)</x:f>
        <x:v>22</x:v>
      </x:c>
      <x:c r="K230" s="14" t="n">
        <x:f>IF('Catalogo Ferramenta'!K230="",0,'Catalogo Ferramenta'!K230)</x:f>
        <x:v>0</x:v>
      </x:c>
      <x:c r="L230" s="14" t="n">
        <x:f>1</x:f>
        <x:v>1</x:v>
      </x:c>
      <x:c r="M230" t="n">
        <x:f>'Catalogo Ferramenta'!L230</x:f>
        <x:v>0</x:v>
      </x:c>
      <x:c r="N230" t="n">
        <x:f>'Catalogo Ferramenta'!M230</x:f>
        <x:v>0</x:v>
      </x:c>
      <x:c r="O230" t="str">
        <x:f>'Catalogo Ferramenta'!N230</x:f>
        <x:v>BLACK+DECKER</x:v>
      </x:c>
      <x:c r="P230" t="str">
        <x:f>'Catalogo Ferramenta'!P230</x:f>
        <x:v>Catalogo Black+Decker Lo Specialista 2026, pagina 117. Prezzi se presenti: raccomandati dal catalogo.</x:v>
      </x:c>
      <x:c r="Q230" s="14" t="n">
        <x:f>'Catalogo Ferramenta'!R230</x:f>
        <x:v>117</x:v>
      </x:c>
      <x:c r="R230" t="str">
        <x:f>'Catalogo Ferramenta'!S230</x:f>
        <x:v>B+D_CATALOGO Lo Specialista 2026.pdf</x:v>
      </x:c>
      <x:c r="S230" s="45" t="b">
        <x:f>AND(D230&lt;&gt;"",B230&lt;&gt;"")</x:f>
        <x:v>1</x:v>
      </x:c>
      <x:c r="T230" t="str">
        <x:f>TEXTJOIN("; ",TRUE,IF(D230="","manca nome",""),IF(B230="","manca barcode",""),IF(H230=0,"prezzo costo da compilare",""),IF(I230=0,"prezzo vendita da compilare",""),IF(K230=0,"quantità da compilare",""))</x:f>
        <x:v>quantità da compilare</x:v>
      </x:c>
    </x:row>
    <x:row r="231">
      <x:c r="A231" t="str">
        <x:f>'Catalogo Ferramenta'!A231</x:f>
        <x:v>BD-0230</x:v>
      </x:c>
      <x:c r="B231" t="str">
        <x:f>'Catalogo Ferramenta'!B231</x:f>
        <x:v>5035048470633</x:v>
      </x:c>
      <x:c r="C231" t="str">
        <x:f>'Catalogo Ferramenta'!C231</x:f>
        <x:v>GTC1843L20-QW</x:v>
      </x:c>
      <x:c r="D231" t="str">
        <x:f>'Catalogo Ferramenta'!D231</x:f>
        <x:v>Tagliasiepi a batteria 18V</x:v>
      </x:c>
      <x:c r="E231" t="str">
        <x:f>'Catalogo Ferramenta'!E231</x:f>
        <x:v>BLACK+DECKER</x:v>
      </x:c>
      <x:c r="F231" t="str">
        <x:f>'Catalogo Ferramenta'!F231</x:f>
        <x:v>GAMMA GIARDINO</x:v>
      </x:c>
      <x:c r="G231" t="str">
        <x:f>'Catalogo Ferramenta'!G231</x:f>
        <x:v>TAGLIASIEPI E CESOIE</x:v>
      </x:c>
      <x:c r="H231" s="12" t="n">
        <x:f>IF('Catalogo Ferramenta'!H231="",0,'Catalogo Ferramenta'!H231)</x:f>
        <x:v>122.8</x:v>
      </x:c>
      <x:c r="I231" s="12" t="n">
        <x:f>IF('Catalogo Ferramenta'!I231="",0,'Catalogo Ferramenta'!I231)</x:f>
        <x:v>149.8</x:v>
      </x:c>
      <x:c r="J231" s="14" t="n">
        <x:f>IF('Catalogo Ferramenta'!J231="",22,'Catalogo Ferramenta'!J231)</x:f>
        <x:v>22</x:v>
      </x:c>
      <x:c r="K231" s="14" t="n">
        <x:f>IF('Catalogo Ferramenta'!K231="",0,'Catalogo Ferramenta'!K231)</x:f>
        <x:v>0</x:v>
      </x:c>
      <x:c r="L231" s="14" t="n">
        <x:f>1</x:f>
        <x:v>1</x:v>
      </x:c>
      <x:c r="M231" t="n">
        <x:f>'Catalogo Ferramenta'!L231</x:f>
        <x:v>0</x:v>
      </x:c>
      <x:c r="N231" t="n">
        <x:f>'Catalogo Ferramenta'!M231</x:f>
        <x:v>0</x:v>
      </x:c>
      <x:c r="O231" t="str">
        <x:f>'Catalogo Ferramenta'!N231</x:f>
        <x:v>BLACK+DECKER</x:v>
      </x:c>
      <x:c r="P231" t="str">
        <x:f>'Catalogo Ferramenta'!P231</x:f>
        <x:v>Catalogo Black+Decker Lo Specialista 2026, pagina 114. Prezzi se presenti: raccomandati dal catalogo.</x:v>
      </x:c>
      <x:c r="Q231" s="14" t="n">
        <x:f>'Catalogo Ferramenta'!R231</x:f>
        <x:v>114</x:v>
      </x:c>
      <x:c r="R231" t="str">
        <x:f>'Catalogo Ferramenta'!S231</x:f>
        <x:v>B+D_CATALOGO Lo Specialista 2026.pdf</x:v>
      </x:c>
      <x:c r="S231" s="45" t="b">
        <x:f>AND(D231&lt;&gt;"",B231&lt;&gt;"")</x:f>
        <x:v>1</x:v>
      </x:c>
      <x:c r="T231" t="str">
        <x:f>TEXTJOIN("; ",TRUE,IF(D231="","manca nome",""),IF(B231="","manca barcode",""),IF(H231=0,"prezzo costo da compilare",""),IF(I231=0,"prezzo vendita da compilare",""),IF(K231=0,"quantità da compilare",""))</x:f>
        <x:v>quantità da compilare</x:v>
      </x:c>
    </x:row>
    <x:row r="232">
      <x:c r="A232" t="str">
        <x:f>'Catalogo Ferramenta'!A232</x:f>
        <x:v>BD-0231</x:v>
      </x:c>
      <x:c r="B232" t="str">
        <x:f>'Catalogo Ferramenta'!B232</x:f>
        <x:v>5035048437834</x:v>
      </x:c>
      <x:c r="C232" t="str">
        <x:f>'Catalogo Ferramenta'!C232</x:f>
        <x:v>GTC1843LB-QW</x:v>
      </x:c>
      <x:c r="D232" t="str">
        <x:f>'Catalogo Ferramenta'!D232</x:f>
        <x:v>Tagliasiepi a batteria 18V (solo corpo macchina)</x:v>
      </x:c>
      <x:c r="E232" t="str">
        <x:f>'Catalogo Ferramenta'!E232</x:f>
        <x:v>BLACK+DECKER</x:v>
      </x:c>
      <x:c r="F232" t="str">
        <x:f>'Catalogo Ferramenta'!F232</x:f>
        <x:v>GAMMA GIARDINO</x:v>
      </x:c>
      <x:c r="G232" t="str">
        <x:f>'Catalogo Ferramenta'!G232</x:f>
        <x:v>TAGLIASIEPI E CESOIE</x:v>
      </x:c>
      <x:c r="H232" s="12" t="n">
        <x:f>IF('Catalogo Ferramenta'!H232="",0,'Catalogo Ferramenta'!H232)</x:f>
        <x:v>90.1</x:v>
      </x:c>
      <x:c r="I232" s="12" t="n">
        <x:f>IF('Catalogo Ferramenta'!I232="",0,'Catalogo Ferramenta'!I232)</x:f>
        <x:v>109.9</x:v>
      </x:c>
      <x:c r="J232" s="14" t="n">
        <x:f>IF('Catalogo Ferramenta'!J232="",22,'Catalogo Ferramenta'!J232)</x:f>
        <x:v>22</x:v>
      </x:c>
      <x:c r="K232" s="14" t="n">
        <x:f>IF('Catalogo Ferramenta'!K232="",0,'Catalogo Ferramenta'!K232)</x:f>
        <x:v>0</x:v>
      </x:c>
      <x:c r="L232" s="14" t="n">
        <x:f>1</x:f>
        <x:v>1</x:v>
      </x:c>
      <x:c r="M232" t="n">
        <x:f>'Catalogo Ferramenta'!L232</x:f>
        <x:v>0</x:v>
      </x:c>
      <x:c r="N232" t="n">
        <x:f>'Catalogo Ferramenta'!M232</x:f>
        <x:v>0</x:v>
      </x:c>
      <x:c r="O232" t="str">
        <x:f>'Catalogo Ferramenta'!N232</x:f>
        <x:v>BLACK+DECKER</x:v>
      </x:c>
      <x:c r="P232" t="str">
        <x:f>'Catalogo Ferramenta'!P232</x:f>
        <x:v>Catalogo Black+Decker Lo Specialista 2026, pagina 114. Prezzi se presenti: raccomandati dal catalogo.</x:v>
      </x:c>
      <x:c r="Q232" s="14" t="n">
        <x:f>'Catalogo Ferramenta'!R232</x:f>
        <x:v>114</x:v>
      </x:c>
      <x:c r="R232" t="str">
        <x:f>'Catalogo Ferramenta'!S232</x:f>
        <x:v>B+D_CATALOGO Lo Specialista 2026.pdf</x:v>
      </x:c>
      <x:c r="S232" s="45" t="b">
        <x:f>AND(D232&lt;&gt;"",B232&lt;&gt;"")</x:f>
        <x:v>1</x:v>
      </x:c>
      <x:c r="T232" t="str">
        <x:f>TEXTJOIN("; ",TRUE,IF(D232="","manca nome",""),IF(B232="","manca barcode",""),IF(H232=0,"prezzo costo da compilare",""),IF(I232=0,"prezzo vendita da compilare",""),IF(K232=0,"quantità da compilare",""))</x:f>
        <x:v>quantità da compilare</x:v>
      </x:c>
    </x:row>
    <x:row r="233">
      <x:c r="A233" t="str">
        <x:f>'Catalogo Ferramenta'!A233</x:f>
        <x:v>BD-0232</x:v>
      </x:c>
      <x:c r="B233" t="str">
        <x:f>'Catalogo Ferramenta'!B233</x:f>
        <x:v>5035048651261</x:v>
      </x:c>
      <x:c r="C233" t="str">
        <x:f>'Catalogo Ferramenta'!C233</x:f>
        <x:v>GTC18452PCB-XJ</x:v>
      </x:c>
      <x:c r="D233" t="str">
        <x:f>'Catalogo Ferramenta'!D233</x:f>
        <x:v>Tagliasiepi a batteria 18V (solo corpo macchina)</x:v>
      </x:c>
      <x:c r="E233" t="str">
        <x:f>'Catalogo Ferramenta'!E233</x:f>
        <x:v>BLACK+DECKER</x:v>
      </x:c>
      <x:c r="F233" t="str">
        <x:f>'Catalogo Ferramenta'!F233</x:f>
        <x:v>GAMMA GIARDINO</x:v>
      </x:c>
      <x:c r="G233" t="str">
        <x:f>'Catalogo Ferramenta'!G233</x:f>
        <x:v>TAGLIASIEPI E CESOIE</x:v>
      </x:c>
      <x:c r="H233" s="12" t="n">
        <x:f>IF('Catalogo Ferramenta'!H233="",0,'Catalogo Ferramenta'!H233)</x:f>
        <x:v>73.7</x:v>
      </x:c>
      <x:c r="I233" s="12" t="n">
        <x:f>IF('Catalogo Ferramenta'!I233="",0,'Catalogo Ferramenta'!I233)</x:f>
        <x:v>89.9</x:v>
      </x:c>
      <x:c r="J233" s="14" t="n">
        <x:f>IF('Catalogo Ferramenta'!J233="",22,'Catalogo Ferramenta'!J233)</x:f>
        <x:v>22</x:v>
      </x:c>
      <x:c r="K233" s="14" t="n">
        <x:f>IF('Catalogo Ferramenta'!K233="",0,'Catalogo Ferramenta'!K233)</x:f>
        <x:v>0</x:v>
      </x:c>
      <x:c r="L233" s="14" t="n">
        <x:f>1</x:f>
        <x:v>1</x:v>
      </x:c>
      <x:c r="M233" t="n">
        <x:f>'Catalogo Ferramenta'!L233</x:f>
        <x:v>0</x:v>
      </x:c>
      <x:c r="N233" t="n">
        <x:f>'Catalogo Ferramenta'!M233</x:f>
        <x:v>0</x:v>
      </x:c>
      <x:c r="O233" t="str">
        <x:f>'Catalogo Ferramenta'!N233</x:f>
        <x:v>BLACK+DECKER</x:v>
      </x:c>
      <x:c r="P233" t="str">
        <x:f>'Catalogo Ferramenta'!P233</x:f>
        <x:v>Catalogo Black+Decker Lo Specialista 2026, pagina 113. Prezzi se presenti: raccomandati dal catalogo.</x:v>
      </x:c>
      <x:c r="Q233" s="14" t="n">
        <x:f>'Catalogo Ferramenta'!R233</x:f>
        <x:v>113</x:v>
      </x:c>
      <x:c r="R233" t="str">
        <x:f>'Catalogo Ferramenta'!S233</x:f>
        <x:v>B+D_CATALOGO Lo Specialista 2026.pdf</x:v>
      </x:c>
      <x:c r="S233" s="45" t="b">
        <x:f>AND(D233&lt;&gt;"",B233&lt;&gt;"")</x:f>
        <x:v>1</x:v>
      </x:c>
      <x:c r="T233" t="str">
        <x:f>TEXTJOIN("; ",TRUE,IF(D233="","manca nome",""),IF(B233="","manca barcode",""),IF(H233=0,"prezzo costo da compilare",""),IF(I233=0,"prezzo vendita da compilare",""),IF(K233=0,"quantità da compilare",""))</x:f>
        <x:v>quantità da compilare</x:v>
      </x:c>
    </x:row>
    <x:row r="234">
      <x:c r="A234" t="str">
        <x:f>'Catalogo Ferramenta'!A234</x:f>
        <x:v>BD-0233</x:v>
      </x:c>
      <x:c r="B234" t="str">
        <x:f>'Catalogo Ferramenta'!B234</x:f>
        <x:v>5035048554128</x:v>
      </x:c>
      <x:c r="C234" t="str">
        <x:f>'Catalogo Ferramenta'!C234</x:f>
        <x:v>GTC1845L20-QW</x:v>
      </x:c>
      <x:c r="D234" t="str">
        <x:f>'Catalogo Ferramenta'!D234</x:f>
        <x:v>Tagliasiepi a batteria 18V</x:v>
      </x:c>
      <x:c r="E234" t="str">
        <x:f>'Catalogo Ferramenta'!E234</x:f>
        <x:v>BLACK+DECKER</x:v>
      </x:c>
      <x:c r="F234" t="str">
        <x:f>'Catalogo Ferramenta'!F234</x:f>
        <x:v>GAMMA GIARDINO</x:v>
      </x:c>
      <x:c r="G234" t="str">
        <x:f>'Catalogo Ferramenta'!G234</x:f>
        <x:v>TAGLIASIEPI E CESOIE</x:v>
      </x:c>
      <x:c r="H234" s="12" t="n">
        <x:f>IF('Catalogo Ferramenta'!H234="",0,'Catalogo Ferramenta'!H234)</x:f>
        <x:v>90.1</x:v>
      </x:c>
      <x:c r="I234" s="12" t="n">
        <x:f>IF('Catalogo Ferramenta'!I234="",0,'Catalogo Ferramenta'!I234)</x:f>
        <x:v>109.9</x:v>
      </x:c>
      <x:c r="J234" s="14" t="n">
        <x:f>IF('Catalogo Ferramenta'!J234="",22,'Catalogo Ferramenta'!J234)</x:f>
        <x:v>22</x:v>
      </x:c>
      <x:c r="K234" s="14" t="n">
        <x:f>IF('Catalogo Ferramenta'!K234="",0,'Catalogo Ferramenta'!K234)</x:f>
        <x:v>0</x:v>
      </x:c>
      <x:c r="L234" s="14" t="n">
        <x:f>1</x:f>
        <x:v>1</x:v>
      </x:c>
      <x:c r="M234" t="n">
        <x:f>'Catalogo Ferramenta'!L234</x:f>
        <x:v>0</x:v>
      </x:c>
      <x:c r="N234" t="n">
        <x:f>'Catalogo Ferramenta'!M234</x:f>
        <x:v>0</x:v>
      </x:c>
      <x:c r="O234" t="str">
        <x:f>'Catalogo Ferramenta'!N234</x:f>
        <x:v>BLACK+DECKER</x:v>
      </x:c>
      <x:c r="P234" t="str">
        <x:f>'Catalogo Ferramenta'!P234</x:f>
        <x:v>Catalogo Black+Decker Lo Specialista 2026, pagina 114. Prezzi se presenti: raccomandati dal catalogo.</x:v>
      </x:c>
      <x:c r="Q234" s="14" t="n">
        <x:f>'Catalogo Ferramenta'!R234</x:f>
        <x:v>114</x:v>
      </x:c>
      <x:c r="R234" t="str">
        <x:f>'Catalogo Ferramenta'!S234</x:f>
        <x:v>B+D_CATALOGO Lo Specialista 2026.pdf</x:v>
      </x:c>
      <x:c r="S234" s="45" t="b">
        <x:f>AND(D234&lt;&gt;"",B234&lt;&gt;"")</x:f>
        <x:v>1</x:v>
      </x:c>
      <x:c r="T234" t="str">
        <x:f>TEXTJOIN("; ",TRUE,IF(D234="","manca nome",""),IF(B234="","manca barcode",""),IF(H234=0,"prezzo costo da compilare",""),IF(I234=0,"prezzo vendita da compilare",""),IF(K234=0,"quantità da compilare",""))</x:f>
        <x:v>quantità da compilare</x:v>
      </x:c>
    </x:row>
    <x:row r="235">
      <x:c r="A235" t="str">
        <x:f>'Catalogo Ferramenta'!A235</x:f>
        <x:v>BD-0234</x:v>
      </x:c>
      <x:c r="B235" t="str">
        <x:f>'Catalogo Ferramenta'!B235</x:f>
        <x:v>5035048639986</x:v>
      </x:c>
      <x:c r="C235" t="str">
        <x:f>'Catalogo Ferramenta'!C235</x:f>
        <x:v>GTC18504PC-QW</x:v>
      </x:c>
      <x:c r="D235" t="str">
        <x:f>'Catalogo Ferramenta'!D235</x:f>
        <x:v>Tagliasiepi a batteria 18V</x:v>
      </x:c>
      <x:c r="E235" t="str">
        <x:f>'Catalogo Ferramenta'!E235</x:f>
        <x:v>BLACK+DECKER</x:v>
      </x:c>
      <x:c r="F235" t="str">
        <x:f>'Catalogo Ferramenta'!F235</x:f>
        <x:v>GAMMA GIARDINO</x:v>
      </x:c>
      <x:c r="G235" t="str">
        <x:f>'Catalogo Ferramenta'!G235</x:f>
        <x:v>TAGLIASIEPI E CESOIE</x:v>
      </x:c>
      <x:c r="H235" s="12" t="n">
        <x:f>IF('Catalogo Ferramenta'!H235="",0,'Catalogo Ferramenta'!H235)</x:f>
        <x:v>151.5</x:v>
      </x:c>
      <x:c r="I235" s="12" t="n">
        <x:f>IF('Catalogo Ferramenta'!I235="",0,'Catalogo Ferramenta'!I235)</x:f>
        <x:v>184.8</x:v>
      </x:c>
      <x:c r="J235" s="14" t="n">
        <x:f>IF('Catalogo Ferramenta'!J235="",22,'Catalogo Ferramenta'!J235)</x:f>
        <x:v>22</x:v>
      </x:c>
      <x:c r="K235" s="14" t="n">
        <x:f>IF('Catalogo Ferramenta'!K235="",0,'Catalogo Ferramenta'!K235)</x:f>
        <x:v>0</x:v>
      </x:c>
      <x:c r="L235" s="14" t="n">
        <x:f>1</x:f>
        <x:v>1</x:v>
      </x:c>
      <x:c r="M235" t="n">
        <x:f>'Catalogo Ferramenta'!L235</x:f>
        <x:v>0</x:v>
      </x:c>
      <x:c r="N235" t="n">
        <x:f>'Catalogo Ferramenta'!M235</x:f>
        <x:v>0</x:v>
      </x:c>
      <x:c r="O235" t="str">
        <x:f>'Catalogo Ferramenta'!N235</x:f>
        <x:v>BLACK+DECKER</x:v>
      </x:c>
      <x:c r="P235" t="str">
        <x:f>'Catalogo Ferramenta'!P235</x:f>
        <x:v>Catalogo Black+Decker Lo Specialista 2026, pagina 115. Prezzi se presenti: raccomandati dal catalogo.</x:v>
      </x:c>
      <x:c r="Q235" s="14" t="n">
        <x:f>'Catalogo Ferramenta'!R235</x:f>
        <x:v>115</x:v>
      </x:c>
      <x:c r="R235" t="str">
        <x:f>'Catalogo Ferramenta'!S235</x:f>
        <x:v>B+D_CATALOGO Lo Specialista 2026.pdf</x:v>
      </x:c>
      <x:c r="S235" s="45" t="b">
        <x:f>AND(D235&lt;&gt;"",B235&lt;&gt;"")</x:f>
        <x:v>1</x:v>
      </x:c>
      <x:c r="T235" t="str">
        <x:f>TEXTJOIN("; ",TRUE,IF(D235="","manca nome",""),IF(B235="","manca barcode",""),IF(H235=0,"prezzo costo da compilare",""),IF(I235=0,"prezzo vendita da compilare",""),IF(K235=0,"quantità da compilare",""))</x:f>
        <x:v>quantità da compilare</x:v>
      </x:c>
    </x:row>
    <x:row r="236">
      <x:c r="A236" t="str">
        <x:f>'Catalogo Ferramenta'!A236</x:f>
        <x:v>BD-0235</x:v>
      </x:c>
      <x:c r="B236" t="str">
        <x:f>'Catalogo Ferramenta'!B236</x:f>
        <x:v>5035048640029</x:v>
      </x:c>
      <x:c r="C236" t="str">
        <x:f>'Catalogo Ferramenta'!C236</x:f>
        <x:v>GWC1820PC-QW</x:v>
      </x:c>
      <x:c r="D236" t="str">
        <x:f>'Catalogo Ferramenta'!D236</x:f>
        <x:v>Soffiatore Assiale a batteria 18V</x:v>
      </x:c>
      <x:c r="E236" t="str">
        <x:f>'Catalogo Ferramenta'!E236</x:f>
        <x:v>BLACK+DECKER</x:v>
      </x:c>
      <x:c r="F236" t="str">
        <x:f>'Catalogo Ferramenta'!F236</x:f>
        <x:v>GAMMA GIARDINO</x:v>
      </x:c>
      <x:c r="G236" t="str">
        <x:f>'Catalogo Ferramenta'!G236</x:f>
        <x:v>SOFFIATORI</x:v>
      </x:c>
      <x:c r="H236" s="12" t="n">
        <x:f>IF('Catalogo Ferramenta'!H236="",0,'Catalogo Ferramenta'!H236)</x:f>
        <x:v>73.7</x:v>
      </x:c>
      <x:c r="I236" s="12" t="n">
        <x:f>IF('Catalogo Ferramenta'!I236="",0,'Catalogo Ferramenta'!I236)</x:f>
        <x:v>89.9</x:v>
      </x:c>
      <x:c r="J236" s="14" t="n">
        <x:f>IF('Catalogo Ferramenta'!J236="",22,'Catalogo Ferramenta'!J236)</x:f>
        <x:v>22</x:v>
      </x:c>
      <x:c r="K236" s="14" t="n">
        <x:f>IF('Catalogo Ferramenta'!K236="",0,'Catalogo Ferramenta'!K236)</x:f>
        <x:v>0</x:v>
      </x:c>
      <x:c r="L236" s="14" t="n">
        <x:f>1</x:f>
        <x:v>1</x:v>
      </x:c>
      <x:c r="M236" t="n">
        <x:f>'Catalogo Ferramenta'!L236</x:f>
        <x:v>0</x:v>
      </x:c>
      <x:c r="N236" t="n">
        <x:f>'Catalogo Ferramenta'!M236</x:f>
        <x:v>0</x:v>
      </x:c>
      <x:c r="O236" t="str">
        <x:f>'Catalogo Ferramenta'!N236</x:f>
        <x:v>BLACK+DECKER</x:v>
      </x:c>
      <x:c r="P236" t="str">
        <x:f>'Catalogo Ferramenta'!P236</x:f>
        <x:v>Catalogo Black+Decker Lo Specialista 2026, pagina 101. Prezzi se presenti: raccomandati dal catalogo.</x:v>
      </x:c>
      <x:c r="Q236" s="14" t="n">
        <x:f>'Catalogo Ferramenta'!R236</x:f>
        <x:v>101</x:v>
      </x:c>
      <x:c r="R236" t="str">
        <x:f>'Catalogo Ferramenta'!S236</x:f>
        <x:v>B+D_CATALOGO Lo Specialista 2026.pdf</x:v>
      </x:c>
      <x:c r="S236" s="45" t="b">
        <x:f>AND(D236&lt;&gt;"",B236&lt;&gt;"")</x:f>
        <x:v>1</x:v>
      </x:c>
      <x:c r="T236" t="str">
        <x:f>TEXTJOIN("; ",TRUE,IF(D236="","manca nome",""),IF(B236="","manca barcode",""),IF(H236=0,"prezzo costo da compilare",""),IF(I236=0,"prezzo vendita da compilare",""),IF(K236=0,"quantità da compilare",""))</x:f>
        <x:v>quantità da compilare</x:v>
      </x:c>
    </x:row>
    <x:row r="237">
      <x:c r="A237" t="str">
        <x:f>'Catalogo Ferramenta'!A237</x:f>
        <x:v>BD-0236</x:v>
      </x:c>
      <x:c r="B237" t="str">
        <x:f>'Catalogo Ferramenta'!B237</x:f>
        <x:v>5035048651292</x:v>
      </x:c>
      <x:c r="C237" t="str">
        <x:f>'Catalogo Ferramenta'!C237</x:f>
        <x:v>GWC1820PCB-XJ</x:v>
      </x:c>
      <x:c r="D237" t="str">
        <x:f>'Catalogo Ferramenta'!D237</x:f>
        <x:v>Soffiatore Assiale a batteria 18V (solo corpo macchina)</x:v>
      </x:c>
      <x:c r="E237" t="str">
        <x:f>'Catalogo Ferramenta'!E237</x:f>
        <x:v>BLACK+DECKER</x:v>
      </x:c>
      <x:c r="F237" t="str">
        <x:f>'Catalogo Ferramenta'!F237</x:f>
        <x:v>GAMMA GIARDINO</x:v>
      </x:c>
      <x:c r="G237" t="str">
        <x:f>'Catalogo Ferramenta'!G237</x:f>
        <x:v>SOFFIATORI</x:v>
      </x:c>
      <x:c r="H237" s="12" t="n">
        <x:f>IF('Catalogo Ferramenta'!H237="",0,'Catalogo Ferramenta'!H237)</x:f>
        <x:v>49.1</x:v>
      </x:c>
      <x:c r="I237" s="12" t="n">
        <x:f>IF('Catalogo Ferramenta'!I237="",0,'Catalogo Ferramenta'!I237)</x:f>
        <x:v>59.9</x:v>
      </x:c>
      <x:c r="J237" s="14" t="n">
        <x:f>IF('Catalogo Ferramenta'!J237="",22,'Catalogo Ferramenta'!J237)</x:f>
        <x:v>22</x:v>
      </x:c>
      <x:c r="K237" s="14" t="n">
        <x:f>IF('Catalogo Ferramenta'!K237="",0,'Catalogo Ferramenta'!K237)</x:f>
        <x:v>0</x:v>
      </x:c>
      <x:c r="L237" s="14" t="n">
        <x:f>1</x:f>
        <x:v>1</x:v>
      </x:c>
      <x:c r="M237" t="n">
        <x:f>'Catalogo Ferramenta'!L237</x:f>
        <x:v>0</x:v>
      </x:c>
      <x:c r="N237" t="n">
        <x:f>'Catalogo Ferramenta'!M237</x:f>
        <x:v>0</x:v>
      </x:c>
      <x:c r="O237" t="str">
        <x:f>'Catalogo Ferramenta'!N237</x:f>
        <x:v>BLACK+DECKER</x:v>
      </x:c>
      <x:c r="P237" t="str">
        <x:f>'Catalogo Ferramenta'!P237</x:f>
        <x:v>Catalogo Black+Decker Lo Specialista 2026, pagina 101. Prezzi se presenti: raccomandati dal catalogo.</x:v>
      </x:c>
      <x:c r="Q237" s="14" t="n">
        <x:f>'Catalogo Ferramenta'!R237</x:f>
        <x:v>101</x:v>
      </x:c>
      <x:c r="R237" t="str">
        <x:f>'Catalogo Ferramenta'!S237</x:f>
        <x:v>B+D_CATALOGO Lo Specialista 2026.pdf</x:v>
      </x:c>
      <x:c r="S237" s="45" t="b">
        <x:f>AND(D237&lt;&gt;"",B237&lt;&gt;"")</x:f>
        <x:v>1</x:v>
      </x:c>
      <x:c r="T237" t="str">
        <x:f>TEXTJOIN("; ",TRUE,IF(D237="","manca nome",""),IF(B237="","manca barcode",""),IF(H237=0,"prezzo costo da compilare",""),IF(I237=0,"prezzo vendita da compilare",""),IF(K237=0,"quantità da compilare",""))</x:f>
        <x:v>quantità da compilare</x:v>
      </x:c>
    </x:row>
    <x:row r="238">
      <x:c r="A238" t="str">
        <x:f>'Catalogo Ferramenta'!A238</x:f>
        <x:v>BD-0237</x:v>
      </x:c>
      <x:c r="B238" t="str">
        <x:f>'Catalogo Ferramenta'!B238</x:f>
        <x:v>5035048340790</x:v>
      </x:c>
      <x:c r="C238" t="str">
        <x:f>'Catalogo Ferramenta'!C238</x:f>
        <x:v>HVLP200C-IT</x:v>
      </x:c>
      <x:c r="D238" t="str">
        <x:f>'Catalogo Ferramenta'!D238</x:f>
        <x:v>Pistola a spruzzo 400W</x:v>
      </x:c>
      <x:c r="E238" t="str">
        <x:f>'Catalogo Ferramenta'!E238</x:f>
        <x:v>BLACK+DECKER</x:v>
      </x:c>
      <x:c r="F238" t="str">
        <x:f>'Catalogo Ferramenta'!F238</x:f>
        <x:v>ELETTROUTENSILI</x:v>
      </x:c>
      <x:c r="G238" t="str">
        <x:f>'Catalogo Ferramenta'!G238</x:f>
        <x:v>FINITURA INTERNI E PITTURA</x:v>
      </x:c>
      <x:c r="H238" s="12" t="n">
        <x:f>IF('Catalogo Ferramenta'!H238="",0,'Catalogo Ferramenta'!H238)</x:f>
        <x:v>57.3</x:v>
      </x:c>
      <x:c r="I238" s="12" t="n">
        <x:f>IF('Catalogo Ferramenta'!I238="",0,'Catalogo Ferramenta'!I238)</x:f>
        <x:v>69.9</x:v>
      </x:c>
      <x:c r="J238" s="14" t="n">
        <x:f>IF('Catalogo Ferramenta'!J238="",22,'Catalogo Ferramenta'!J238)</x:f>
        <x:v>22</x:v>
      </x:c>
      <x:c r="K238" s="14" t="n">
        <x:f>IF('Catalogo Ferramenta'!K238="",0,'Catalogo Ferramenta'!K238)</x:f>
        <x:v>0</x:v>
      </x:c>
      <x:c r="L238" s="14" t="n">
        <x:f>1</x:f>
        <x:v>1</x:v>
      </x:c>
      <x:c r="M238" t="n">
        <x:f>'Catalogo Ferramenta'!L238</x:f>
        <x:v>0</x:v>
      </x:c>
      <x:c r="N238" t="n">
        <x:f>'Catalogo Ferramenta'!M238</x:f>
        <x:v>0</x:v>
      </x:c>
      <x:c r="O238" t="str">
        <x:f>'Catalogo Ferramenta'!N238</x:f>
        <x:v>BLACK+DECKER</x:v>
      </x:c>
      <x:c r="P238" t="str">
        <x:f>'Catalogo Ferramenta'!P238</x:f>
        <x:v>Catalogo Black+Decker Lo Specialista 2026, pagina 66. Prezzi se presenti: raccomandati dal catalogo.</x:v>
      </x:c>
      <x:c r="Q238" s="14" t="n">
        <x:f>'Catalogo Ferramenta'!R238</x:f>
        <x:v>66</x:v>
      </x:c>
      <x:c r="R238" t="str">
        <x:f>'Catalogo Ferramenta'!S238</x:f>
        <x:v>B+D_CATALOGO Lo Specialista 2026.pdf</x:v>
      </x:c>
      <x:c r="S238" s="45" t="b">
        <x:f>AND(D238&lt;&gt;"",B238&lt;&gt;"")</x:f>
        <x:v>1</x:v>
      </x:c>
      <x:c r="T238" t="str">
        <x:f>TEXTJOIN("; ",TRUE,IF(D238="","manca nome",""),IF(B238="","manca barcode",""),IF(H238=0,"prezzo costo da compilare",""),IF(I238=0,"prezzo vendita da compilare",""),IF(K238=0,"quantità da compilare",""))</x:f>
        <x:v>quantità da compilare</x:v>
      </x:c>
    </x:row>
    <x:row r="239">
      <x:c r="A239" t="str">
        <x:f>'Catalogo Ferramenta'!A239</x:f>
        <x:v>BD-0238</x:v>
      </x:c>
      <x:c r="B239" t="str">
        <x:f>'Catalogo Ferramenta'!B239</x:f>
        <x:v>5035048335321</x:v>
      </x:c>
      <x:c r="C239" t="str">
        <x:f>'Catalogo Ferramenta'!C239</x:f>
        <x:v>HVLP400C-IT</x:v>
      </x:c>
      <x:c r="D239" t="str">
        <x:f>'Catalogo Ferramenta'!D239</x:f>
        <x:v>Pistola a spruzzo 450W</x:v>
      </x:c>
      <x:c r="E239" t="str">
        <x:f>'Catalogo Ferramenta'!E239</x:f>
        <x:v>BLACK+DECKER</x:v>
      </x:c>
      <x:c r="F239" t="str">
        <x:f>'Catalogo Ferramenta'!F239</x:f>
        <x:v>ELETTROUTENSILI</x:v>
      </x:c>
      <x:c r="G239" t="str">
        <x:f>'Catalogo Ferramenta'!G239</x:f>
        <x:v>FINITURA INTERNI E PITTURA</x:v>
      </x:c>
      <x:c r="H239" s="12" t="n">
        <x:f>IF('Catalogo Ferramenta'!H239="",0,'Catalogo Ferramenta'!H239)</x:f>
        <x:v>81.9</x:v>
      </x:c>
      <x:c r="I239" s="12" t="n">
        <x:f>IF('Catalogo Ferramenta'!I239="",0,'Catalogo Ferramenta'!I239)</x:f>
        <x:v>99.9</x:v>
      </x:c>
      <x:c r="J239" s="14" t="n">
        <x:f>IF('Catalogo Ferramenta'!J239="",22,'Catalogo Ferramenta'!J239)</x:f>
        <x:v>22</x:v>
      </x:c>
      <x:c r="K239" s="14" t="n">
        <x:f>IF('Catalogo Ferramenta'!K239="",0,'Catalogo Ferramenta'!K239)</x:f>
        <x:v>0</x:v>
      </x:c>
      <x:c r="L239" s="14" t="n">
        <x:f>1</x:f>
        <x:v>1</x:v>
      </x:c>
      <x:c r="M239" t="n">
        <x:f>'Catalogo Ferramenta'!L239</x:f>
        <x:v>0</x:v>
      </x:c>
      <x:c r="N239" t="n">
        <x:f>'Catalogo Ferramenta'!M239</x:f>
        <x:v>0</x:v>
      </x:c>
      <x:c r="O239" t="str">
        <x:f>'Catalogo Ferramenta'!N239</x:f>
        <x:v>BLACK+DECKER</x:v>
      </x:c>
      <x:c r="P239" t="str">
        <x:f>'Catalogo Ferramenta'!P239</x:f>
        <x:v>Catalogo Black+Decker Lo Specialista 2026, pagina 66. Prezzi se presenti: raccomandati dal catalogo.</x:v>
      </x:c>
      <x:c r="Q239" s="14" t="n">
        <x:f>'Catalogo Ferramenta'!R239</x:f>
        <x:v>66</x:v>
      </x:c>
      <x:c r="R239" t="str">
        <x:f>'Catalogo Ferramenta'!S239</x:f>
        <x:v>B+D_CATALOGO Lo Specialista 2026.pdf</x:v>
      </x:c>
      <x:c r="S239" s="45" t="b">
        <x:f>AND(D239&lt;&gt;"",B239&lt;&gt;"")</x:f>
        <x:v>1</x:v>
      </x:c>
      <x:c r="T239" t="str">
        <x:f>TEXTJOIN("; ",TRUE,IF(D239="","manca nome",""),IF(B239="","manca barcode",""),IF(H239=0,"prezzo costo da compilare",""),IF(I239=0,"prezzo vendita da compilare",""),IF(K239=0,"quantità da compilare",""))</x:f>
        <x:v>quantità da compilare</x:v>
      </x:c>
    </x:row>
    <x:row r="240">
      <x:c r="A240" t="str">
        <x:f>'Catalogo Ferramenta'!A240</x:f>
        <x:v>BD-0239</x:v>
      </x:c>
      <x:c r="B240" t="str">
        <x:f>'Catalogo Ferramenta'!B240</x:f>
        <x:v>5035048129845</x:v>
      </x:c>
      <x:c r="C240" t="str">
        <x:f>'Catalogo Ferramenta'!C240</x:f>
        <x:v>KA191EK-QS</x:v>
      </x:c>
      <x:c r="D240" t="str">
        <x:f>'Catalogo Ferramenta'!D240</x:f>
        <x:v>Levigatrice rotorbitale a filo 480W</x:v>
      </x:c>
      <x:c r="E240" t="str">
        <x:f>'Catalogo Ferramenta'!E240</x:f>
        <x:v>BLACK+DECKER</x:v>
      </x:c>
      <x:c r="F240" t="str">
        <x:f>'Catalogo Ferramenta'!F240</x:f>
        <x:v>ELETTROUTENSILI</x:v>
      </x:c>
      <x:c r="G240" t="str">
        <x:f>'Catalogo Ferramenta'!G240</x:f>
        <x:v>LEVIGATRICI</x:v>
      </x:c>
      <x:c r="H240" s="12" t="n">
        <x:f>IF('Catalogo Ferramenta'!H240="",0,'Catalogo Ferramenta'!H240)</x:f>
        <x:v>65.5</x:v>
      </x:c>
      <x:c r="I240" s="12" t="n">
        <x:f>IF('Catalogo Ferramenta'!I240="",0,'Catalogo Ferramenta'!I240)</x:f>
        <x:v>79.9</x:v>
      </x:c>
      <x:c r="J240" s="14" t="n">
        <x:f>IF('Catalogo Ferramenta'!J240="",22,'Catalogo Ferramenta'!J240)</x:f>
        <x:v>22</x:v>
      </x:c>
      <x:c r="K240" s="14" t="n">
        <x:f>IF('Catalogo Ferramenta'!K240="",0,'Catalogo Ferramenta'!K240)</x:f>
        <x:v>0</x:v>
      </x:c>
      <x:c r="L240" s="14" t="n">
        <x:f>1</x:f>
        <x:v>1</x:v>
      </x:c>
      <x:c r="M240" t="n">
        <x:f>'Catalogo Ferramenta'!L240</x:f>
        <x:v>0</x:v>
      </x:c>
      <x:c r="N240" t="n">
        <x:f>'Catalogo Ferramenta'!M240</x:f>
        <x:v>0</x:v>
      </x:c>
      <x:c r="O240" t="str">
        <x:f>'Catalogo Ferramenta'!N240</x:f>
        <x:v>BLACK+DECKER</x:v>
      </x:c>
      <x:c r="P240" t="str">
        <x:f>'Catalogo Ferramenta'!P240</x:f>
        <x:v>Catalogo Black+Decker Lo Specialista 2026, pagina 46. Prezzi se presenti: raccomandati dal catalogo.</x:v>
      </x:c>
      <x:c r="Q240" s="14" t="n">
        <x:f>'Catalogo Ferramenta'!R240</x:f>
        <x:v>46</x:v>
      </x:c>
      <x:c r="R240" t="str">
        <x:f>'Catalogo Ferramenta'!S240</x:f>
        <x:v>B+D_CATALOGO Lo Specialista 2026.pdf</x:v>
      </x:c>
      <x:c r="S240" s="45" t="b">
        <x:f>AND(D240&lt;&gt;"",B240&lt;&gt;"")</x:f>
        <x:v>1</x:v>
      </x:c>
      <x:c r="T240" t="str">
        <x:f>TEXTJOIN("; ",TRUE,IF(D240="","manca nome",""),IF(B240="","manca barcode",""),IF(H240=0,"prezzo costo da compilare",""),IF(I240=0,"prezzo vendita da compilare",""),IF(K240=0,"quantità da compilare",""))</x:f>
        <x:v>quantità da compilare</x:v>
      </x:c>
    </x:row>
    <x:row r="241">
      <x:c r="A241" t="str">
        <x:f>'Catalogo Ferramenta'!A241</x:f>
        <x:v>BD-0240</x:v>
      </x:c>
      <x:c r="B241" t="str">
        <x:f>'Catalogo Ferramenta'!B241</x:f>
        <x:v>5035048561379</x:v>
      </x:c>
      <x:c r="C241" t="str">
        <x:f>'Catalogo Ferramenta'!C241</x:f>
        <x:v>KA199-QS</x:v>
      </x:c>
      <x:c r="D241" t="str">
        <x:f>'Catalogo Ferramenta'!D241</x:f>
        <x:v>Levigatrice rotorbitale a filo 240W</x:v>
      </x:c>
      <x:c r="E241" t="str">
        <x:f>'Catalogo Ferramenta'!E241</x:f>
        <x:v>BLACK+DECKER</x:v>
      </x:c>
      <x:c r="F241" t="str">
        <x:f>'Catalogo Ferramenta'!F241</x:f>
        <x:v>ELETTROUTENSILI</x:v>
      </x:c>
      <x:c r="G241" t="str">
        <x:f>'Catalogo Ferramenta'!G241</x:f>
        <x:v>LEVIGATRICI</x:v>
      </x:c>
      <x:c r="H241" s="12" t="n">
        <x:f>IF('Catalogo Ferramenta'!H241="",0,'Catalogo Ferramenta'!H241)</x:f>
        <x:v>49.1</x:v>
      </x:c>
      <x:c r="I241" s="12" t="n">
        <x:f>IF('Catalogo Ferramenta'!I241="",0,'Catalogo Ferramenta'!I241)</x:f>
        <x:v>59.9</x:v>
      </x:c>
      <x:c r="J241" s="14" t="n">
        <x:f>IF('Catalogo Ferramenta'!J241="",22,'Catalogo Ferramenta'!J241)</x:f>
        <x:v>22</x:v>
      </x:c>
      <x:c r="K241" s="14" t="n">
        <x:f>IF('Catalogo Ferramenta'!K241="",0,'Catalogo Ferramenta'!K241)</x:f>
        <x:v>0</x:v>
      </x:c>
      <x:c r="L241" s="14" t="n">
        <x:f>1</x:f>
        <x:v>1</x:v>
      </x:c>
      <x:c r="M241" t="n">
        <x:f>'Catalogo Ferramenta'!L241</x:f>
        <x:v>0</x:v>
      </x:c>
      <x:c r="N241" t="n">
        <x:f>'Catalogo Ferramenta'!M241</x:f>
        <x:v>0</x:v>
      </x:c>
      <x:c r="O241" t="str">
        <x:f>'Catalogo Ferramenta'!N241</x:f>
        <x:v>BLACK+DECKER</x:v>
      </x:c>
      <x:c r="P241" t="str">
        <x:f>'Catalogo Ferramenta'!P241</x:f>
        <x:v>Catalogo Black+Decker Lo Specialista 2026, pagina 46. Prezzi se presenti: raccomandati dal catalogo.</x:v>
      </x:c>
      <x:c r="Q241" s="14" t="n">
        <x:f>'Catalogo Ferramenta'!R241</x:f>
        <x:v>46</x:v>
      </x:c>
      <x:c r="R241" t="str">
        <x:f>'Catalogo Ferramenta'!S241</x:f>
        <x:v>B+D_CATALOGO Lo Specialista 2026.pdf</x:v>
      </x:c>
      <x:c r="S241" s="45" t="b">
        <x:f>AND(D241&lt;&gt;"",B241&lt;&gt;"")</x:f>
        <x:v>1</x:v>
      </x:c>
      <x:c r="T241" t="str">
        <x:f>TEXTJOIN("; ",TRUE,IF(D241="","manca nome",""),IF(B241="","manca barcode",""),IF(H241=0,"prezzo costo da compilare",""),IF(I241=0,"prezzo vendita da compilare",""),IF(K241=0,"quantità da compilare",""))</x:f>
        <x:v>quantità da compilare</x:v>
      </x:c>
    </x:row>
    <x:row r="242">
      <x:c r="A242" t="str">
        <x:f>'Catalogo Ferramenta'!A242</x:f>
        <x:v>BD-0241</x:v>
      </x:c>
      <x:c r="B242" t="str">
        <x:f>'Catalogo Ferramenta'!B242</x:f>
        <x:v>5035048465974</x:v>
      </x:c>
      <x:c r="C242" t="str">
        <x:f>'Catalogo Ferramenta'!C242</x:f>
        <x:v>KA2000-QS</x:v>
      </x:c>
      <x:c r="D242" t="str">
        <x:f>'Catalogo Ferramenta'!D242</x:f>
        <x:v>Levigatrice Mouse® 120W</x:v>
      </x:c>
      <x:c r="E242" t="str">
        <x:f>'Catalogo Ferramenta'!E242</x:f>
        <x:v>BLACK+DECKER</x:v>
      </x:c>
      <x:c r="F242" t="str">
        <x:f>'Catalogo Ferramenta'!F242</x:f>
        <x:v>ELETTROUTENSILI</x:v>
      </x:c>
      <x:c r="G242" t="str">
        <x:f>'Catalogo Ferramenta'!G242</x:f>
        <x:v>LEVIGATRICI</x:v>
      </x:c>
      <x:c r="H242" s="12" t="n">
        <x:f>IF('Catalogo Ferramenta'!H242="",0,'Catalogo Ferramenta'!H242)</x:f>
        <x:v>37.7</x:v>
      </x:c>
      <x:c r="I242" s="12" t="n">
        <x:f>IF('Catalogo Ferramenta'!I242="",0,'Catalogo Ferramenta'!I242)</x:f>
        <x:v>46</x:v>
      </x:c>
      <x:c r="J242" s="14" t="n">
        <x:f>IF('Catalogo Ferramenta'!J242="",22,'Catalogo Ferramenta'!J242)</x:f>
        <x:v>22</x:v>
      </x:c>
      <x:c r="K242" s="14" t="n">
        <x:f>IF('Catalogo Ferramenta'!K242="",0,'Catalogo Ferramenta'!K242)</x:f>
        <x:v>0</x:v>
      </x:c>
      <x:c r="L242" s="14" t="n">
        <x:f>1</x:f>
        <x:v>1</x:v>
      </x:c>
      <x:c r="M242" t="n">
        <x:f>'Catalogo Ferramenta'!L242</x:f>
        <x:v>0</x:v>
      </x:c>
      <x:c r="N242" t="n">
        <x:f>'Catalogo Ferramenta'!M242</x:f>
        <x:v>0</x:v>
      </x:c>
      <x:c r="O242" t="str">
        <x:f>'Catalogo Ferramenta'!N242</x:f>
        <x:v>BLACK+DECKER</x:v>
      </x:c>
      <x:c r="P242" t="str">
        <x:f>'Catalogo Ferramenta'!P242</x:f>
        <x:v>Catalogo Black+Decker Lo Specialista 2026, pagina 42. Prezzi se presenti: raccomandati dal catalogo.</x:v>
      </x:c>
      <x:c r="Q242" s="14" t="n">
        <x:f>'Catalogo Ferramenta'!R242</x:f>
        <x:v>42</x:v>
      </x:c>
      <x:c r="R242" t="str">
        <x:f>'Catalogo Ferramenta'!S242</x:f>
        <x:v>B+D_CATALOGO Lo Specialista 2026.pdf</x:v>
      </x:c>
      <x:c r="S242" s="45" t="b">
        <x:f>AND(D242&lt;&gt;"",B242&lt;&gt;"")</x:f>
        <x:v>1</x:v>
      </x:c>
      <x:c r="T242" t="str">
        <x:f>TEXTJOIN("; ",TRUE,IF(D242="","manca nome",""),IF(B242="","manca barcode",""),IF(H242=0,"prezzo costo da compilare",""),IF(I242=0,"prezzo vendita da compilare",""),IF(K242=0,"quantità da compilare",""))</x:f>
        <x:v>quantità da compilare</x:v>
      </x:c>
    </x:row>
    <x:row r="243">
      <x:c r="A243" t="str">
        <x:f>'Catalogo Ferramenta'!A243</x:f>
        <x:v>BD-0242</x:v>
      </x:c>
      <x:c r="B243" t="str">
        <x:f>'Catalogo Ferramenta'!B243</x:f>
        <x:v>5035048203330</x:v>
      </x:c>
      <x:c r="C243" t="str">
        <x:f>'Catalogo Ferramenta'!C243</x:f>
        <x:v>KA320E-QS</x:v>
      </x:c>
      <x:c r="D243" t="str">
        <x:f>'Catalogo Ferramenta'!D243</x:f>
        <x:v>Levigatrice orbitale a filo 240W da 1/3 di foglio</x:v>
      </x:c>
      <x:c r="E243" t="str">
        <x:f>'Catalogo Ferramenta'!E243</x:f>
        <x:v>BLACK+DECKER</x:v>
      </x:c>
      <x:c r="F243" t="str">
        <x:f>'Catalogo Ferramenta'!F243</x:f>
        <x:v>ELETTROUTENSILI</x:v>
      </x:c>
      <x:c r="G243" t="str">
        <x:f>'Catalogo Ferramenta'!G243</x:f>
        <x:v>LEVIGATRICI</x:v>
      </x:c>
      <x:c r="H243" s="12" t="n">
        <x:f>IF('Catalogo Ferramenta'!H243="",0,'Catalogo Ferramenta'!H243)</x:f>
        <x:v>40.9</x:v>
      </x:c>
      <x:c r="I243" s="12" t="n">
        <x:f>IF('Catalogo Ferramenta'!I243="",0,'Catalogo Ferramenta'!I243)</x:f>
        <x:v>49.9</x:v>
      </x:c>
      <x:c r="J243" s="14" t="n">
        <x:f>IF('Catalogo Ferramenta'!J243="",22,'Catalogo Ferramenta'!J243)</x:f>
        <x:v>22</x:v>
      </x:c>
      <x:c r="K243" s="14" t="n">
        <x:f>IF('Catalogo Ferramenta'!K243="",0,'Catalogo Ferramenta'!K243)</x:f>
        <x:v>0</x:v>
      </x:c>
      <x:c r="L243" s="14" t="n">
        <x:f>1</x:f>
        <x:v>1</x:v>
      </x:c>
      <x:c r="M243" t="n">
        <x:f>'Catalogo Ferramenta'!L243</x:f>
        <x:v>0</x:v>
      </x:c>
      <x:c r="N243" t="n">
        <x:f>'Catalogo Ferramenta'!M243</x:f>
        <x:v>0</x:v>
      </x:c>
      <x:c r="O243" t="str">
        <x:f>'Catalogo Ferramenta'!N243</x:f>
        <x:v>BLACK+DECKER</x:v>
      </x:c>
      <x:c r="P243" t="str">
        <x:f>'Catalogo Ferramenta'!P243</x:f>
        <x:v>Catalogo Black+Decker Lo Specialista 2026, pagina 45. Prezzi se presenti: raccomandati dal catalogo.</x:v>
      </x:c>
      <x:c r="Q243" s="14" t="n">
        <x:f>'Catalogo Ferramenta'!R243</x:f>
        <x:v>45</x:v>
      </x:c>
      <x:c r="R243" t="str">
        <x:f>'Catalogo Ferramenta'!S243</x:f>
        <x:v>B+D_CATALOGO Lo Specialista 2026.pdf</x:v>
      </x:c>
      <x:c r="S243" s="45" t="b">
        <x:f>AND(D243&lt;&gt;"",B243&lt;&gt;"")</x:f>
        <x:v>1</x:v>
      </x:c>
      <x:c r="T243" t="str">
        <x:f>TEXTJOIN("; ",TRUE,IF(D243="","manca nome",""),IF(B243="","manca barcode",""),IF(H243=0,"prezzo costo da compilare",""),IF(I243=0,"prezzo vendita da compilare",""),IF(K243=0,"quantità da compilare",""))</x:f>
        <x:v>quantità da compilare</x:v>
      </x:c>
    </x:row>
    <x:row r="244">
      <x:c r="A244" t="str">
        <x:f>'Catalogo Ferramenta'!A244</x:f>
        <x:v>BD-0243</x:v>
      </x:c>
      <x:c r="B244" t="str">
        <x:f>'Catalogo Ferramenta'!B244</x:f>
        <x:v>5035048203378</x:v>
      </x:c>
      <x:c r="C244" t="str">
        <x:f>'Catalogo Ferramenta'!C244</x:f>
        <x:v>KA320EKA-QS</x:v>
      </x:c>
      <x:c r="D244" t="str">
        <x:f>'Catalogo Ferramenta'!D244</x:f>
        <x:v>Levigatrice orbitale a filo 240W da 1/3 di foglio in valigetta</x:v>
      </x:c>
      <x:c r="E244" t="str">
        <x:f>'Catalogo Ferramenta'!E244</x:f>
        <x:v>BLACK+DECKER</x:v>
      </x:c>
      <x:c r="F244" t="str">
        <x:f>'Catalogo Ferramenta'!F244</x:f>
        <x:v>ELETTROUTENSILI</x:v>
      </x:c>
      <x:c r="G244" t="str">
        <x:f>'Catalogo Ferramenta'!G244</x:f>
        <x:v>LEVIGATRICI</x:v>
      </x:c>
      <x:c r="H244" s="12" t="n">
        <x:f>IF('Catalogo Ferramenta'!H244="",0,'Catalogo Ferramenta'!H244)</x:f>
        <x:v>49.1</x:v>
      </x:c>
      <x:c r="I244" s="12" t="n">
        <x:f>IF('Catalogo Ferramenta'!I244="",0,'Catalogo Ferramenta'!I244)</x:f>
        <x:v>59.9</x:v>
      </x:c>
      <x:c r="J244" s="14" t="n">
        <x:f>IF('Catalogo Ferramenta'!J244="",22,'Catalogo Ferramenta'!J244)</x:f>
        <x:v>22</x:v>
      </x:c>
      <x:c r="K244" s="14" t="n">
        <x:f>IF('Catalogo Ferramenta'!K244="",0,'Catalogo Ferramenta'!K244)</x:f>
        <x:v>0</x:v>
      </x:c>
      <x:c r="L244" s="14" t="n">
        <x:f>1</x:f>
        <x:v>1</x:v>
      </x:c>
      <x:c r="M244" t="n">
        <x:f>'Catalogo Ferramenta'!L244</x:f>
        <x:v>0</x:v>
      </x:c>
      <x:c r="N244" t="n">
        <x:f>'Catalogo Ferramenta'!M244</x:f>
        <x:v>0</x:v>
      </x:c>
      <x:c r="O244" t="str">
        <x:f>'Catalogo Ferramenta'!N244</x:f>
        <x:v>BLACK+DECKER</x:v>
      </x:c>
      <x:c r="P244" t="str">
        <x:f>'Catalogo Ferramenta'!P244</x:f>
        <x:v>Catalogo Black+Decker Lo Specialista 2026, pagina 45. Prezzi se presenti: raccomandati dal catalogo.</x:v>
      </x:c>
      <x:c r="Q244" s="14" t="n">
        <x:f>'Catalogo Ferramenta'!R244</x:f>
        <x:v>45</x:v>
      </x:c>
      <x:c r="R244" t="str">
        <x:f>'Catalogo Ferramenta'!S244</x:f>
        <x:v>B+D_CATALOGO Lo Specialista 2026.pdf</x:v>
      </x:c>
      <x:c r="S244" s="45" t="b">
        <x:f>AND(D244&lt;&gt;"",B244&lt;&gt;"")</x:f>
        <x:v>1</x:v>
      </x:c>
      <x:c r="T244" t="str">
        <x:f>TEXTJOIN("; ",TRUE,IF(D244="","manca nome",""),IF(B244="","manca barcode",""),IF(H244=0,"prezzo costo da compilare",""),IF(I244=0,"prezzo vendita da compilare",""),IF(K244=0,"quantità da compilare",""))</x:f>
        <x:v>quantità da compilare</x:v>
      </x:c>
    </x:row>
    <x:row r="245">
      <x:c r="A245" t="str">
        <x:f>'Catalogo Ferramenta'!A245</x:f>
        <x:v>BD-0244</x:v>
      </x:c>
      <x:c r="B245" t="str">
        <x:f>'Catalogo Ferramenta'!B245</x:f>
        <x:v>5035048658505</x:v>
      </x:c>
      <x:c r="C245" t="str">
        <x:f>'Catalogo Ferramenta'!C245</x:f>
        <x:v>KA401LA-QS</x:v>
      </x:c>
      <x:c r="D245" t="str">
        <x:f>'Catalogo Ferramenta'!D245</x:f>
        <x:v>Levigatrice orbitale a filo 170W da 1/4 di foglio</x:v>
      </x:c>
      <x:c r="E245" t="str">
        <x:f>'Catalogo Ferramenta'!E245</x:f>
        <x:v>BLACK+DECKER</x:v>
      </x:c>
      <x:c r="F245" t="str">
        <x:f>'Catalogo Ferramenta'!F245</x:f>
        <x:v>ELETTROUTENSILI</x:v>
      </x:c>
      <x:c r="G245" t="str">
        <x:f>'Catalogo Ferramenta'!G245</x:f>
        <x:v>LEVIGATRICI</x:v>
      </x:c>
      <x:c r="H245" s="12" t="n">
        <x:f>IF('Catalogo Ferramenta'!H245="",0,'Catalogo Ferramenta'!H245)</x:f>
        <x:v>57.5</x:v>
      </x:c>
      <x:c r="I245" s="12" t="n">
        <x:f>IF('Catalogo Ferramenta'!I245="",0,'Catalogo Ferramenta'!I245)</x:f>
        <x:v>70.2</x:v>
      </x:c>
      <x:c r="J245" s="14" t="n">
        <x:f>IF('Catalogo Ferramenta'!J245="",22,'Catalogo Ferramenta'!J245)</x:f>
        <x:v>22</x:v>
      </x:c>
      <x:c r="K245" s="14" t="n">
        <x:f>IF('Catalogo Ferramenta'!K245="",0,'Catalogo Ferramenta'!K245)</x:f>
        <x:v>0</x:v>
      </x:c>
      <x:c r="L245" s="14" t="n">
        <x:f>1</x:f>
        <x:v>1</x:v>
      </x:c>
      <x:c r="M245" t="n">
        <x:f>'Catalogo Ferramenta'!L245</x:f>
        <x:v>0</x:v>
      </x:c>
      <x:c r="N245" t="n">
        <x:f>'Catalogo Ferramenta'!M245</x:f>
        <x:v>0</x:v>
      </x:c>
      <x:c r="O245" t="str">
        <x:f>'Catalogo Ferramenta'!N245</x:f>
        <x:v>BLACK+DECKER</x:v>
      </x:c>
      <x:c r="P245" t="str">
        <x:f>'Catalogo Ferramenta'!P245</x:f>
        <x:v>Catalogo Black+Decker Lo Specialista 2026, pagina 44. Prezzi se presenti: raccomandati dal catalogo.</x:v>
      </x:c>
      <x:c r="Q245" s="14" t="n">
        <x:f>'Catalogo Ferramenta'!R245</x:f>
        <x:v>44</x:v>
      </x:c>
      <x:c r="R245" t="str">
        <x:f>'Catalogo Ferramenta'!S245</x:f>
        <x:v>B+D_CATALOGO Lo Specialista 2026.pdf</x:v>
      </x:c>
      <x:c r="S245" s="45" t="b">
        <x:f>AND(D245&lt;&gt;"",B245&lt;&gt;"")</x:f>
        <x:v>1</x:v>
      </x:c>
      <x:c r="T245" t="str">
        <x:f>TEXTJOIN("; ",TRUE,IF(D245="","manca nome",""),IF(B245="","manca barcode",""),IF(H245=0,"prezzo costo da compilare",""),IF(I245=0,"prezzo vendita da compilare",""),IF(K245=0,"quantità da compilare",""))</x:f>
        <x:v>quantità da compilare</x:v>
      </x:c>
    </x:row>
    <x:row r="246">
      <x:c r="A246" t="str">
        <x:f>'Catalogo Ferramenta'!A246</x:f>
        <x:v>BD-0245</x:v>
      </x:c>
      <x:c r="B246" t="str">
        <x:f>'Catalogo Ferramenta'!B246</x:f>
        <x:v>5035048175163</x:v>
      </x:c>
      <x:c r="C246" t="str">
        <x:f>'Catalogo Ferramenta'!C246</x:f>
        <x:v>KA86-QS</x:v>
      </x:c>
      <x:c r="D246" t="str">
        <x:f>'Catalogo Ferramenta'!D246</x:f>
        <x:v>Levigatrice a nastro 720W</x:v>
      </x:c>
      <x:c r="E246" t="str">
        <x:f>'Catalogo Ferramenta'!E246</x:f>
        <x:v>BLACK+DECKER</x:v>
      </x:c>
      <x:c r="F246" t="str">
        <x:f>'Catalogo Ferramenta'!F246</x:f>
        <x:v>ELETTROUTENSILI</x:v>
      </x:c>
      <x:c r="G246" t="str">
        <x:f>'Catalogo Ferramenta'!G246</x:f>
        <x:v>LEVIGATRICI</x:v>
      </x:c>
      <x:c r="H246" s="12" t="n">
        <x:f>IF('Catalogo Ferramenta'!H246="",0,'Catalogo Ferramenta'!H246)</x:f>
        <x:v>57.3</x:v>
      </x:c>
      <x:c r="I246" s="12" t="n">
        <x:f>IF('Catalogo Ferramenta'!I246="",0,'Catalogo Ferramenta'!I246)</x:f>
        <x:v>69.9</x:v>
      </x:c>
      <x:c r="J246" s="14" t="n">
        <x:f>IF('Catalogo Ferramenta'!J246="",22,'Catalogo Ferramenta'!J246)</x:f>
        <x:v>22</x:v>
      </x:c>
      <x:c r="K246" s="14" t="n">
        <x:f>IF('Catalogo Ferramenta'!K246="",0,'Catalogo Ferramenta'!K246)</x:f>
        <x:v>0</x:v>
      </x:c>
      <x:c r="L246" s="14" t="n">
        <x:f>1</x:f>
        <x:v>1</x:v>
      </x:c>
      <x:c r="M246" t="n">
        <x:f>'Catalogo Ferramenta'!L246</x:f>
        <x:v>0</x:v>
      </x:c>
      <x:c r="N246" t="n">
        <x:f>'Catalogo Ferramenta'!M246</x:f>
        <x:v>0</x:v>
      </x:c>
      <x:c r="O246" t="str">
        <x:f>'Catalogo Ferramenta'!N246</x:f>
        <x:v>BLACK+DECKER</x:v>
      </x:c>
      <x:c r="P246" t="str">
        <x:f>'Catalogo Ferramenta'!P246</x:f>
        <x:v>Catalogo Black+Decker Lo Specialista 2026, pagina 47. Prezzi se presenti: raccomandati dal catalogo.</x:v>
      </x:c>
      <x:c r="Q246" s="14" t="n">
        <x:f>'Catalogo Ferramenta'!R246</x:f>
        <x:v>47</x:v>
      </x:c>
      <x:c r="R246" t="str">
        <x:f>'Catalogo Ferramenta'!S246</x:f>
        <x:v>B+D_CATALOGO Lo Specialista 2026.pdf</x:v>
      </x:c>
      <x:c r="S246" s="45" t="b">
        <x:f>AND(D246&lt;&gt;"",B246&lt;&gt;"")</x:f>
        <x:v>1</x:v>
      </x:c>
      <x:c r="T246" t="str">
        <x:f>TEXTJOIN("; ",TRUE,IF(D246="","manca nome",""),IF(B246="","manca barcode",""),IF(H246=0,"prezzo costo da compilare",""),IF(I246=0,"prezzo vendita da compilare",""),IF(K246=0,"quantità da compilare",""))</x:f>
        <x:v>quantità da compilare</x:v>
      </x:c>
    </x:row>
    <x:row r="247">
      <x:c r="A247" t="str">
        <x:f>'Catalogo Ferramenta'!A247</x:f>
        <x:v>BD-0246</x:v>
      </x:c>
      <x:c r="B247" t="str">
        <x:f>'Catalogo Ferramenta'!B247</x:f>
        <x:v>5035048128718</x:v>
      </x:c>
      <x:c r="C247" t="str">
        <x:f>'Catalogo Ferramenta'!C247</x:f>
        <x:v>KA88-QS</x:v>
      </x:c>
      <x:c r="D247" t="str">
        <x:f>'Catalogo Ferramenta'!D247</x:f>
        <x:v>Levigatrice a nastro 720W</x:v>
      </x:c>
      <x:c r="E247" t="str">
        <x:f>'Catalogo Ferramenta'!E247</x:f>
        <x:v>BLACK+DECKER</x:v>
      </x:c>
      <x:c r="F247" t="str">
        <x:f>'Catalogo Ferramenta'!F247</x:f>
        <x:v>ELETTROUTENSILI</x:v>
      </x:c>
      <x:c r="G247" t="str">
        <x:f>'Catalogo Ferramenta'!G247</x:f>
        <x:v>LEVIGATRICI</x:v>
      </x:c>
      <x:c r="H247" s="12" t="n">
        <x:f>IF('Catalogo Ferramenta'!H247="",0,'Catalogo Ferramenta'!H247)</x:f>
        <x:v>81.9</x:v>
      </x:c>
      <x:c r="I247" s="12" t="n">
        <x:f>IF('Catalogo Ferramenta'!I247="",0,'Catalogo Ferramenta'!I247)</x:f>
        <x:v>99.9</x:v>
      </x:c>
      <x:c r="J247" s="14" t="n">
        <x:f>IF('Catalogo Ferramenta'!J247="",22,'Catalogo Ferramenta'!J247)</x:f>
        <x:v>22</x:v>
      </x:c>
      <x:c r="K247" s="14" t="n">
        <x:f>IF('Catalogo Ferramenta'!K247="",0,'Catalogo Ferramenta'!K247)</x:f>
        <x:v>0</x:v>
      </x:c>
      <x:c r="L247" s="14" t="n">
        <x:f>1</x:f>
        <x:v>1</x:v>
      </x:c>
      <x:c r="M247" t="n">
        <x:f>'Catalogo Ferramenta'!L247</x:f>
        <x:v>0</x:v>
      </x:c>
      <x:c r="N247" t="n">
        <x:f>'Catalogo Ferramenta'!M247</x:f>
        <x:v>0</x:v>
      </x:c>
      <x:c r="O247" t="str">
        <x:f>'Catalogo Ferramenta'!N247</x:f>
        <x:v>BLACK+DECKER</x:v>
      </x:c>
      <x:c r="P247" t="str">
        <x:f>'Catalogo Ferramenta'!P247</x:f>
        <x:v>Catalogo Black+Decker Lo Specialista 2026, pagina 48. Prezzi se presenti: raccomandati dal catalogo.</x:v>
      </x:c>
      <x:c r="Q247" s="14" t="n">
        <x:f>'Catalogo Ferramenta'!R247</x:f>
        <x:v>48</x:v>
      </x:c>
      <x:c r="R247" t="str">
        <x:f>'Catalogo Ferramenta'!S247</x:f>
        <x:v>B+D_CATALOGO Lo Specialista 2026.pdf</x:v>
      </x:c>
      <x:c r="S247" s="45" t="b">
        <x:f>AND(D247&lt;&gt;"",B247&lt;&gt;"")</x:f>
        <x:v>1</x:v>
      </x:c>
      <x:c r="T247" t="str">
        <x:f>TEXTJOIN("; ",TRUE,IF(D247="","manca nome",""),IF(B247="","manca barcode",""),IF(H247=0,"prezzo costo da compilare",""),IF(I247=0,"prezzo vendita da compilare",""),IF(K247=0,"quantità da compilare",""))</x:f>
        <x:v>quantità da compilare</x:v>
      </x:c>
    </x:row>
    <x:row r="248">
      <x:c r="A248" t="str">
        <x:f>'Catalogo Ferramenta'!A248</x:f>
        <x:v>BD-0247</x:v>
      </x:c>
      <x:c r="B248" t="str">
        <x:f>'Catalogo Ferramenta'!B248</x:f>
        <x:v>5035048175187</x:v>
      </x:c>
      <x:c r="C248" t="str">
        <x:f>'Catalogo Ferramenta'!C248</x:f>
        <x:v>KA900E-QS</x:v>
      </x:c>
      <x:c r="D248" t="str">
        <x:f>'Catalogo Ferramenta'!D248</x:f>
        <x:v>Lima elettrica 350W</x:v>
      </x:c>
      <x:c r="E248" t="str">
        <x:f>'Catalogo Ferramenta'!E248</x:f>
        <x:v>BLACK+DECKER</x:v>
      </x:c>
      <x:c r="F248" t="str">
        <x:f>'Catalogo Ferramenta'!F248</x:f>
        <x:v>ELETTROUTENSILI</x:v>
      </x:c>
      <x:c r="G248" t="str">
        <x:f>'Catalogo Ferramenta'!G248</x:f>
        <x:v>LEVIGATRICI</x:v>
      </x:c>
      <x:c r="H248" s="12" t="n">
        <x:f>IF('Catalogo Ferramenta'!H248="",0,'Catalogo Ferramenta'!H248)</x:f>
        <x:v>65.5</x:v>
      </x:c>
      <x:c r="I248" s="12" t="n">
        <x:f>IF('Catalogo Ferramenta'!I248="",0,'Catalogo Ferramenta'!I248)</x:f>
        <x:v>79.9</x:v>
      </x:c>
      <x:c r="J248" s="14" t="n">
        <x:f>IF('Catalogo Ferramenta'!J248="",22,'Catalogo Ferramenta'!J248)</x:f>
        <x:v>22</x:v>
      </x:c>
      <x:c r="K248" s="14" t="n">
        <x:f>IF('Catalogo Ferramenta'!K248="",0,'Catalogo Ferramenta'!K248)</x:f>
        <x:v>0</x:v>
      </x:c>
      <x:c r="L248" s="14" t="n">
        <x:f>1</x:f>
        <x:v>1</x:v>
      </x:c>
      <x:c r="M248" t="n">
        <x:f>'Catalogo Ferramenta'!L248</x:f>
        <x:v>0</x:v>
      </x:c>
      <x:c r="N248" t="n">
        <x:f>'Catalogo Ferramenta'!M248</x:f>
        <x:v>0</x:v>
      </x:c>
      <x:c r="O248" t="str">
        <x:f>'Catalogo Ferramenta'!N248</x:f>
        <x:v>BLACK+DECKER</x:v>
      </x:c>
      <x:c r="P248" t="str">
        <x:f>'Catalogo Ferramenta'!P248</x:f>
        <x:v>Catalogo Black+Decker Lo Specialista 2026, pagina 48. Prezzi se presenti: raccomandati dal catalogo.</x:v>
      </x:c>
      <x:c r="Q248" s="14" t="n">
        <x:f>'Catalogo Ferramenta'!R248</x:f>
        <x:v>48</x:v>
      </x:c>
      <x:c r="R248" t="str">
        <x:f>'Catalogo Ferramenta'!S248</x:f>
        <x:v>B+D_CATALOGO Lo Specialista 2026.pdf</x:v>
      </x:c>
      <x:c r="S248" s="45" t="b">
        <x:f>AND(D248&lt;&gt;"",B248&lt;&gt;"")</x:f>
        <x:v>1</x:v>
      </x:c>
      <x:c r="T248" t="str">
        <x:f>TEXTJOIN("; ",TRUE,IF(D248="","manca nome",""),IF(B248="","manca barcode",""),IF(H248=0,"prezzo costo da compilare",""),IF(I248=0,"prezzo vendita da compilare",""),IF(K248=0,"quantità da compilare",""))</x:f>
        <x:v>quantità da compilare</x:v>
      </x:c>
    </x:row>
    <x:row r="249">
      <x:c r="A249" t="str">
        <x:f>'Catalogo Ferramenta'!A249</x:f>
        <x:v>BD-0248</x:v>
      </x:c>
      <x:c r="B249" t="str">
        <x:f>'Catalogo Ferramenta'!B249</x:f>
        <x:v>5035048638033</x:v>
      </x:c>
      <x:c r="C249" t="str">
        <x:f>'Catalogo Ferramenta'!C249</x:f>
        <x:v>KG1202-QS</x:v>
      </x:c>
      <x:c r="D249" t="str">
        <x:f>'Catalogo Ferramenta'!D249</x:f>
        <x:v>Smerigliatrice angolare 1200W - 125/115mm</x:v>
      </x:c>
      <x:c r="E249" t="str">
        <x:f>'Catalogo Ferramenta'!E249</x:f>
        <x:v>BLACK+DECKER</x:v>
      </x:c>
      <x:c r="F249" t="str">
        <x:f>'Catalogo Ferramenta'!F249</x:f>
        <x:v>ELETTROUTENSILI</x:v>
      </x:c>
      <x:c r="G249" t="str">
        <x:f>'Catalogo Ferramenta'!G249</x:f>
        <x:v>SMERIGLIATRICI</x:v>
      </x:c>
      <x:c r="H249" s="12" t="n">
        <x:f>IF('Catalogo Ferramenta'!H249="",0,'Catalogo Ferramenta'!H249)</x:f>
        <x:v>57.3</x:v>
      </x:c>
      <x:c r="I249" s="12" t="n">
        <x:f>IF('Catalogo Ferramenta'!I249="",0,'Catalogo Ferramenta'!I249)</x:f>
        <x:v>69.9</x:v>
      </x:c>
      <x:c r="J249" s="14" t="n">
        <x:f>IF('Catalogo Ferramenta'!J249="",22,'Catalogo Ferramenta'!J249)</x:f>
        <x:v>22</x:v>
      </x:c>
      <x:c r="K249" s="14" t="n">
        <x:f>IF('Catalogo Ferramenta'!K249="",0,'Catalogo Ferramenta'!K249)</x:f>
        <x:v>0</x:v>
      </x:c>
      <x:c r="L249" s="14" t="n">
        <x:f>1</x:f>
        <x:v>1</x:v>
      </x:c>
      <x:c r="M249" t="n">
        <x:f>'Catalogo Ferramenta'!L249</x:f>
        <x:v>0</x:v>
      </x:c>
      <x:c r="N249" t="n">
        <x:f>'Catalogo Ferramenta'!M249</x:f>
        <x:v>0</x:v>
      </x:c>
      <x:c r="O249" t="str">
        <x:f>'Catalogo Ferramenta'!N249</x:f>
        <x:v>BLACK+DECKER</x:v>
      </x:c>
      <x:c r="P249" t="str">
        <x:f>'Catalogo Ferramenta'!P249</x:f>
        <x:v>Catalogo Black+Decker Lo Specialista 2026, pagina 53. Prezzi se presenti: raccomandati dal catalogo.</x:v>
      </x:c>
      <x:c r="Q249" s="14" t="n">
        <x:f>'Catalogo Ferramenta'!R249</x:f>
        <x:v>53</x:v>
      </x:c>
      <x:c r="R249" t="str">
        <x:f>'Catalogo Ferramenta'!S249</x:f>
        <x:v>B+D_CATALOGO Lo Specialista 2026.pdf</x:v>
      </x:c>
      <x:c r="S249" s="45" t="b">
        <x:f>AND(D249&lt;&gt;"",B249&lt;&gt;"")</x:f>
        <x:v>1</x:v>
      </x:c>
      <x:c r="T249" t="str">
        <x:f>TEXTJOIN("; ",TRUE,IF(D249="","manca nome",""),IF(B249="","manca barcode",""),IF(H249=0,"prezzo costo da compilare",""),IF(I249=0,"prezzo vendita da compilare",""),IF(K249=0,"quantità da compilare",""))</x:f>
        <x:v>quantità da compilare</x:v>
      </x:c>
    </x:row>
    <x:row r="250">
      <x:c r="A250" t="str">
        <x:f>'Catalogo Ferramenta'!A250</x:f>
        <x:v>BD-0249</x:v>
      </x:c>
      <x:c r="B250" t="str">
        <x:f>'Catalogo Ferramenta'!B250</x:f>
        <x:v>5035048335529</x:v>
      </x:c>
      <x:c r="C250" t="str">
        <x:f>'Catalogo Ferramenta'!C250</x:f>
        <x:v>KR911K-QS</x:v>
      </x:c>
      <x:c r="D250" t="str">
        <x:f>'Catalogo Ferramenta'!D250</x:f>
        <x:v>Trapano a percussione a filo 910W in valigetta</x:v>
      </x:c>
      <x:c r="E250" t="str">
        <x:f>'Catalogo Ferramenta'!E250</x:f>
        <x:v>BLACK+DECKER</x:v>
      </x:c>
      <x:c r="F250" t="str">
        <x:f>'Catalogo Ferramenta'!F250</x:f>
        <x:v>ELETTROUTENSILI</x:v>
      </x:c>
      <x:c r="G250" t="str">
        <x:f>'Catalogo Ferramenta'!G250</x:f>
        <x:v>TRAPANI A FILO</x:v>
      </x:c>
      <x:c r="H250" s="12" t="n">
        <x:f>IF('Catalogo Ferramenta'!H250="",0,'Catalogo Ferramenta'!H250)</x:f>
        <x:v>81.9</x:v>
      </x:c>
      <x:c r="I250" s="12" t="n">
        <x:f>IF('Catalogo Ferramenta'!I250="",0,'Catalogo Ferramenta'!I250)</x:f>
        <x:v>99.9</x:v>
      </x:c>
      <x:c r="J250" s="14" t="n">
        <x:f>IF('Catalogo Ferramenta'!J250="",22,'Catalogo Ferramenta'!J250)</x:f>
        <x:v>22</x:v>
      </x:c>
      <x:c r="K250" s="14" t="n">
        <x:f>IF('Catalogo Ferramenta'!K250="",0,'Catalogo Ferramenta'!K250)</x:f>
        <x:v>0</x:v>
      </x:c>
      <x:c r="L250" s="14" t="n">
        <x:f>1</x:f>
        <x:v>1</x:v>
      </x:c>
      <x:c r="M250" t="n">
        <x:f>'Catalogo Ferramenta'!L250</x:f>
        <x:v>0</x:v>
      </x:c>
      <x:c r="N250" t="n">
        <x:f>'Catalogo Ferramenta'!M250</x:f>
        <x:v>0</x:v>
      </x:c>
      <x:c r="O250" t="str">
        <x:f>'Catalogo Ferramenta'!N250</x:f>
        <x:v>BLACK+DECKER</x:v>
      </x:c>
      <x:c r="P250" t="str">
        <x:f>'Catalogo Ferramenta'!P250</x:f>
        <x:v>Catalogo Black+Decker Lo Specialista 2026, pagina 14. Prezzi se presenti: raccomandati dal catalogo.</x:v>
      </x:c>
      <x:c r="Q250" s="14" t="n">
        <x:f>'Catalogo Ferramenta'!R250</x:f>
        <x:v>14</x:v>
      </x:c>
      <x:c r="R250" t="str">
        <x:f>'Catalogo Ferramenta'!S250</x:f>
        <x:v>B+D_CATALOGO Lo Specialista 2026.pdf</x:v>
      </x:c>
      <x:c r="S250" s="45" t="b">
        <x:f>AND(D250&lt;&gt;"",B250&lt;&gt;"")</x:f>
        <x:v>1</x:v>
      </x:c>
      <x:c r="T250" t="str">
        <x:f>TEXTJOIN("; ",TRUE,IF(D250="","manca nome",""),IF(B250="","manca barcode",""),IF(H250=0,"prezzo costo da compilare",""),IF(I250=0,"prezzo vendita da compilare",""),IF(K250=0,"quantità da compilare",""))</x:f>
        <x:v>quantità da compilare</x:v>
      </x:c>
    </x:row>
    <x:row r="251">
      <x:c r="A251" t="str">
        <x:f>'Catalogo Ferramenta'!A251</x:f>
        <x:v>BD-0250</x:v>
      </x:c>
      <x:c r="B251" t="str">
        <x:f>'Catalogo Ferramenta'!B251</x:f>
        <x:v>5035048545843</x:v>
      </x:c>
      <x:c r="C251" t="str">
        <x:f>'Catalogo Ferramenta'!C251</x:f>
        <x:v>KS701PEK-QS</x:v>
      </x:c>
      <x:c r="D251" t="str">
        <x:f>'Catalogo Ferramenta'!D251</x:f>
        <x:v>Seghetto alternativo ad azione pendolare in valigetta</x:v>
      </x:c>
      <x:c r="E251" t="str">
        <x:f>'Catalogo Ferramenta'!E251</x:f>
        <x:v>BLACK+DECKER</x:v>
      </x:c>
      <x:c r="F251" t="str">
        <x:f>'Catalogo Ferramenta'!F251</x:f>
        <x:v>ELETTROUTENSILI</x:v>
      </x:c>
      <x:c r="G251" t="str">
        <x:f>'Catalogo Ferramenta'!G251</x:f>
        <x:v>UTENSILI PER TAGLIARE</x:v>
      </x:c>
      <x:c r="H251" s="12" t="n">
        <x:f>IF('Catalogo Ferramenta'!H251="",0,'Catalogo Ferramenta'!H251)</x:f>
        <x:v>40.9</x:v>
      </x:c>
      <x:c r="I251" s="12" t="n">
        <x:f>IF('Catalogo Ferramenta'!I251="",0,'Catalogo Ferramenta'!I251)</x:f>
        <x:v>49.9</x:v>
      </x:c>
      <x:c r="J251" s="14" t="n">
        <x:f>IF('Catalogo Ferramenta'!J251="",22,'Catalogo Ferramenta'!J251)</x:f>
        <x:v>22</x:v>
      </x:c>
      <x:c r="K251" s="14" t="n">
        <x:f>IF('Catalogo Ferramenta'!K251="",0,'Catalogo Ferramenta'!K251)</x:f>
        <x:v>0</x:v>
      </x:c>
      <x:c r="L251" s="14" t="n">
        <x:f>1</x:f>
        <x:v>1</x:v>
      </x:c>
      <x:c r="M251" t="n">
        <x:f>'Catalogo Ferramenta'!L251</x:f>
        <x:v>0</x:v>
      </x:c>
      <x:c r="N251" t="n">
        <x:f>'Catalogo Ferramenta'!M251</x:f>
        <x:v>0</x:v>
      </x:c>
      <x:c r="O251" t="str">
        <x:f>'Catalogo Ferramenta'!N251</x:f>
        <x:v>BLACK+DECKER</x:v>
      </x:c>
      <x:c r="P251" t="str">
        <x:f>'Catalogo Ferramenta'!P251</x:f>
        <x:v>Catalogo Black+Decker Lo Specialista 2026, pagina 30. Prezzi se presenti: raccomandati dal catalogo.</x:v>
      </x:c>
      <x:c r="Q251" s="14" t="n">
        <x:f>'Catalogo Ferramenta'!R251</x:f>
        <x:v>30</x:v>
      </x:c>
      <x:c r="R251" t="str">
        <x:f>'Catalogo Ferramenta'!S251</x:f>
        <x:v>B+D_CATALOGO Lo Specialista 2026.pdf</x:v>
      </x:c>
      <x:c r="S251" s="45" t="b">
        <x:f>AND(D251&lt;&gt;"",B251&lt;&gt;"")</x:f>
        <x:v>1</x:v>
      </x:c>
      <x:c r="T251" t="str">
        <x:f>TEXTJOIN("; ",TRUE,IF(D251="","manca nome",""),IF(B251="","manca barcode",""),IF(H251=0,"prezzo costo da compilare",""),IF(I251=0,"prezzo vendita da compilare",""),IF(K251=0,"quantità da compilare",""))</x:f>
        <x:v>quantità da compilare</x:v>
      </x:c>
    </x:row>
    <x:row r="252">
      <x:c r="A252" t="str">
        <x:f>'Catalogo Ferramenta'!A252</x:f>
        <x:v>BD-0251</x:v>
      </x:c>
      <x:c r="B252" t="str">
        <x:f>'Catalogo Ferramenta'!B252</x:f>
        <x:v>5035048545867</x:v>
      </x:c>
      <x:c r="C252" t="str">
        <x:f>'Catalogo Ferramenta'!C252</x:f>
        <x:v>KS801SE-QS</x:v>
      </x:c>
      <x:c r="D252" t="str">
        <x:f>'Catalogo Ferramenta'!D252</x:f>
        <x:v>Seghetto alternativo Autoselect® ad azione pendolare 550W</x:v>
      </x:c>
      <x:c r="E252" t="str">
        <x:f>'Catalogo Ferramenta'!E252</x:f>
        <x:v>BLACK+DECKER</x:v>
      </x:c>
      <x:c r="F252" t="str">
        <x:f>'Catalogo Ferramenta'!F252</x:f>
        <x:v>ELETTROUTENSILI</x:v>
      </x:c>
      <x:c r="G252" t="str">
        <x:f>'Catalogo Ferramenta'!G252</x:f>
        <x:v>UTENSILI PER TAGLIARE</x:v>
      </x:c>
      <x:c r="H252" s="12" t="n">
        <x:f>IF('Catalogo Ferramenta'!H252="",0,'Catalogo Ferramenta'!H252)</x:f>
        <x:v>49.1</x:v>
      </x:c>
      <x:c r="I252" s="12" t="n">
        <x:f>IF('Catalogo Ferramenta'!I252="",0,'Catalogo Ferramenta'!I252)</x:f>
        <x:v>59.9</x:v>
      </x:c>
      <x:c r="J252" s="14" t="n">
        <x:f>IF('Catalogo Ferramenta'!J252="",22,'Catalogo Ferramenta'!J252)</x:f>
        <x:v>22</x:v>
      </x:c>
      <x:c r="K252" s="14" t="n">
        <x:f>IF('Catalogo Ferramenta'!K252="",0,'Catalogo Ferramenta'!K252)</x:f>
        <x:v>0</x:v>
      </x:c>
      <x:c r="L252" s="14" t="n">
        <x:f>1</x:f>
        <x:v>1</x:v>
      </x:c>
      <x:c r="M252" t="n">
        <x:f>'Catalogo Ferramenta'!L252</x:f>
        <x:v>0</x:v>
      </x:c>
      <x:c r="N252" t="n">
        <x:f>'Catalogo Ferramenta'!M252</x:f>
        <x:v>0</x:v>
      </x:c>
      <x:c r="O252" t="str">
        <x:f>'Catalogo Ferramenta'!N252</x:f>
        <x:v>BLACK+DECKER</x:v>
      </x:c>
      <x:c r="P252" t="str">
        <x:f>'Catalogo Ferramenta'!P252</x:f>
        <x:v>Catalogo Black+Decker Lo Specialista 2026, pagina 30. Prezzi se presenti: raccomandati dal catalogo.</x:v>
      </x:c>
      <x:c r="Q252" s="14" t="n">
        <x:f>'Catalogo Ferramenta'!R252</x:f>
        <x:v>30</x:v>
      </x:c>
      <x:c r="R252" t="str">
        <x:f>'Catalogo Ferramenta'!S252</x:f>
        <x:v>B+D_CATALOGO Lo Specialista 2026.pdf</x:v>
      </x:c>
      <x:c r="S252" s="45" t="b">
        <x:f>AND(D252&lt;&gt;"",B252&lt;&gt;"")</x:f>
        <x:v>1</x:v>
      </x:c>
      <x:c r="T252" t="str">
        <x:f>TEXTJOIN("; ",TRUE,IF(D252="","manca nome",""),IF(B252="","manca barcode",""),IF(H252=0,"prezzo costo da compilare",""),IF(I252=0,"prezzo vendita da compilare",""),IF(K252=0,"quantità da compilare",""))</x:f>
        <x:v>quantità da compilare</x:v>
      </x:c>
    </x:row>
    <x:row r="253">
      <x:c r="A253" t="str">
        <x:f>'Catalogo Ferramenta'!A253</x:f>
        <x:v>BD-0252</x:v>
      </x:c>
      <x:c r="B253" t="str">
        <x:f>'Catalogo Ferramenta'!B253</x:f>
        <x:v>5035048545898</x:v>
      </x:c>
      <x:c r="C253" t="str">
        <x:f>'Catalogo Ferramenta'!C253</x:f>
        <x:v>KS801SEK-QS</x:v>
      </x:c>
      <x:c r="D253" t="str">
        <x:f>'Catalogo Ferramenta'!D253</x:f>
        <x:v>Seghetto alternativo Autoselect® ad azione pendolare 550W in valigetta</x:v>
      </x:c>
      <x:c r="E253" t="str">
        <x:f>'Catalogo Ferramenta'!E253</x:f>
        <x:v>BLACK+DECKER</x:v>
      </x:c>
      <x:c r="F253" t="str">
        <x:f>'Catalogo Ferramenta'!F253</x:f>
        <x:v>ELETTROUTENSILI</x:v>
      </x:c>
      <x:c r="G253" t="str">
        <x:f>'Catalogo Ferramenta'!G253</x:f>
        <x:v>UTENSILI PER TAGLIARE</x:v>
      </x:c>
      <x:c r="H253" s="12" t="n">
        <x:f>IF('Catalogo Ferramenta'!H253="",0,'Catalogo Ferramenta'!H253)</x:f>
        <x:v>57.3</x:v>
      </x:c>
      <x:c r="I253" s="12" t="n">
        <x:f>IF('Catalogo Ferramenta'!I253="",0,'Catalogo Ferramenta'!I253)</x:f>
        <x:v>69.9</x:v>
      </x:c>
      <x:c r="J253" s="14" t="n">
        <x:f>IF('Catalogo Ferramenta'!J253="",22,'Catalogo Ferramenta'!J253)</x:f>
        <x:v>22</x:v>
      </x:c>
      <x:c r="K253" s="14" t="n">
        <x:f>IF('Catalogo Ferramenta'!K253="",0,'Catalogo Ferramenta'!K253)</x:f>
        <x:v>0</x:v>
      </x:c>
      <x:c r="L253" s="14" t="n">
        <x:f>1</x:f>
        <x:v>1</x:v>
      </x:c>
      <x:c r="M253" t="n">
        <x:f>'Catalogo Ferramenta'!L253</x:f>
        <x:v>0</x:v>
      </x:c>
      <x:c r="N253" t="n">
        <x:f>'Catalogo Ferramenta'!M253</x:f>
        <x:v>0</x:v>
      </x:c>
      <x:c r="O253" t="str">
        <x:f>'Catalogo Ferramenta'!N253</x:f>
        <x:v>BLACK+DECKER</x:v>
      </x:c>
      <x:c r="P253" t="str">
        <x:f>'Catalogo Ferramenta'!P253</x:f>
        <x:v>Catalogo Black+Decker Lo Specialista 2026, pagina 30. Prezzi se presenti: raccomandati dal catalogo.</x:v>
      </x:c>
      <x:c r="Q253" s="14" t="n">
        <x:f>'Catalogo Ferramenta'!R253</x:f>
        <x:v>30</x:v>
      </x:c>
      <x:c r="R253" t="str">
        <x:f>'Catalogo Ferramenta'!S253</x:f>
        <x:v>B+D_CATALOGO Lo Specialista 2026.pdf</x:v>
      </x:c>
      <x:c r="S253" s="45" t="b">
        <x:f>AND(D253&lt;&gt;"",B253&lt;&gt;"")</x:f>
        <x:v>1</x:v>
      </x:c>
      <x:c r="T253" t="str">
        <x:f>TEXTJOIN("; ",TRUE,IF(D253="","manca nome",""),IF(B253="","manca barcode",""),IF(H253=0,"prezzo costo da compilare",""),IF(I253=0,"prezzo vendita da compilare",""),IF(K253=0,"quantità da compilare",""))</x:f>
        <x:v>quantità da compilare</x:v>
      </x:c>
    </x:row>
    <x:row r="254">
      <x:c r="A254" t="str">
        <x:f>'Catalogo Ferramenta'!A254</x:f>
        <x:v>BD-0253</x:v>
      </x:c>
      <x:c r="B254" t="str">
        <x:f>'Catalogo Ferramenta'!B254</x:f>
        <x:v>5035048147955</x:v>
      </x:c>
      <x:c r="C254" t="str">
        <x:f>'Catalogo Ferramenta'!C254</x:f>
        <x:v>KS880EC-QS</x:v>
      </x:c>
      <x:c r="D254" t="str">
        <x:f>'Catalogo Ferramenta'!D254</x:f>
        <x:v>Sega multifunzione 400W</x:v>
      </x:c>
      <x:c r="E254" t="str">
        <x:f>'Catalogo Ferramenta'!E254</x:f>
        <x:v>BLACK+DECKER</x:v>
      </x:c>
      <x:c r="F254" t="str">
        <x:f>'Catalogo Ferramenta'!F254</x:f>
        <x:v>ELETTROUTENSILI</x:v>
      </x:c>
      <x:c r="G254" t="str">
        <x:f>'Catalogo Ferramenta'!G254</x:f>
        <x:v>UTENSILI PER TAGLIARE</x:v>
      </x:c>
      <x:c r="H254" s="12" t="n">
        <x:f>IF('Catalogo Ferramenta'!H254="",0,'Catalogo Ferramenta'!H254)</x:f>
        <x:v>65.9</x:v>
      </x:c>
      <x:c r="I254" s="12" t="n">
        <x:f>IF('Catalogo Ferramenta'!I254="",0,'Catalogo Ferramenta'!I254)</x:f>
        <x:v>80.4</x:v>
      </x:c>
      <x:c r="J254" s="14" t="n">
        <x:f>IF('Catalogo Ferramenta'!J254="",22,'Catalogo Ferramenta'!J254)</x:f>
        <x:v>22</x:v>
      </x:c>
      <x:c r="K254" s="14" t="n">
        <x:f>IF('Catalogo Ferramenta'!K254="",0,'Catalogo Ferramenta'!K254)</x:f>
        <x:v>0</x:v>
      </x:c>
      <x:c r="L254" s="14" t="n">
        <x:f>1</x:f>
        <x:v>1</x:v>
      </x:c>
      <x:c r="M254" t="n">
        <x:f>'Catalogo Ferramenta'!L254</x:f>
        <x:v>0</x:v>
      </x:c>
      <x:c r="N254" t="n">
        <x:f>'Catalogo Ferramenta'!M254</x:f>
        <x:v>0</x:v>
      </x:c>
      <x:c r="O254" t="str">
        <x:f>'Catalogo Ferramenta'!N254</x:f>
        <x:v>BLACK+DECKER</x:v>
      </x:c>
      <x:c r="P254" t="str">
        <x:f>'Catalogo Ferramenta'!P254</x:f>
        <x:v>Catalogo Black+Decker Lo Specialista 2026, pagina 33. Prezzi se presenti: raccomandati dal catalogo.</x:v>
      </x:c>
      <x:c r="Q254" s="14" t="n">
        <x:f>'Catalogo Ferramenta'!R254</x:f>
        <x:v>33</x:v>
      </x:c>
      <x:c r="R254" t="str">
        <x:f>'Catalogo Ferramenta'!S254</x:f>
        <x:v>B+D_CATALOGO Lo Specialista 2026.pdf</x:v>
      </x:c>
      <x:c r="S254" s="45" t="b">
        <x:f>AND(D254&lt;&gt;"",B254&lt;&gt;"")</x:f>
        <x:v>1</x:v>
      </x:c>
      <x:c r="T254" t="str">
        <x:f>TEXTJOIN("; ",TRUE,IF(D254="","manca nome",""),IF(B254="","manca barcode",""),IF(H254=0,"prezzo costo da compilare",""),IF(I254=0,"prezzo vendita da compilare",""),IF(K254=0,"quantità da compilare",""))</x:f>
        <x:v>quantità da compilare</x:v>
      </x:c>
    </x:row>
    <x:row r="255">
      <x:c r="A255" t="str">
        <x:f>'Catalogo Ferramenta'!A255</x:f>
        <x:v>BD-0254</x:v>
      </x:c>
      <x:c r="B255" t="str">
        <x:f>'Catalogo Ferramenta'!B255</x:f>
        <x:v>5035048545904</x:v>
      </x:c>
      <x:c r="C255" t="str">
        <x:f>'Catalogo Ferramenta'!C255</x:f>
        <x:v>KS901PEK-QS</x:v>
      </x:c>
      <x:c r="D255" t="str">
        <x:f>'Catalogo Ferramenta'!D255</x:f>
        <x:v>Seghetto alternativo ad azione pendolare 620W in valigetta</x:v>
      </x:c>
      <x:c r="E255" t="str">
        <x:f>'Catalogo Ferramenta'!E255</x:f>
        <x:v>BLACK+DECKER</x:v>
      </x:c>
      <x:c r="F255" t="str">
        <x:f>'Catalogo Ferramenta'!F255</x:f>
        <x:v>ELETTROUTENSILI</x:v>
      </x:c>
      <x:c r="G255" t="str">
        <x:f>'Catalogo Ferramenta'!G255</x:f>
        <x:v>UTENSILI PER TAGLIARE</x:v>
      </x:c>
      <x:c r="H255" s="12" t="n">
        <x:f>IF('Catalogo Ferramenta'!H255="",0,'Catalogo Ferramenta'!H255)</x:f>
        <x:v>57.3</x:v>
      </x:c>
      <x:c r="I255" s="12" t="n">
        <x:f>IF('Catalogo Ferramenta'!I255="",0,'Catalogo Ferramenta'!I255)</x:f>
        <x:v>69.9</x:v>
      </x:c>
      <x:c r="J255" s="14" t="n">
        <x:f>IF('Catalogo Ferramenta'!J255="",22,'Catalogo Ferramenta'!J255)</x:f>
        <x:v>22</x:v>
      </x:c>
      <x:c r="K255" s="14" t="n">
        <x:f>IF('Catalogo Ferramenta'!K255="",0,'Catalogo Ferramenta'!K255)</x:f>
        <x:v>0</x:v>
      </x:c>
      <x:c r="L255" s="14" t="n">
        <x:f>1</x:f>
        <x:v>1</x:v>
      </x:c>
      <x:c r="M255" t="n">
        <x:f>'Catalogo Ferramenta'!L255</x:f>
        <x:v>0</x:v>
      </x:c>
      <x:c r="N255" t="n">
        <x:f>'Catalogo Ferramenta'!M255</x:f>
        <x:v>0</x:v>
      </x:c>
      <x:c r="O255" t="str">
        <x:f>'Catalogo Ferramenta'!N255</x:f>
        <x:v>BLACK+DECKER</x:v>
      </x:c>
      <x:c r="P255" t="str">
        <x:f>'Catalogo Ferramenta'!P255</x:f>
        <x:v>Catalogo Black+Decker Lo Specialista 2026, pagina 31. Prezzi se presenti: raccomandati dal catalogo.</x:v>
      </x:c>
      <x:c r="Q255" s="14" t="n">
        <x:f>'Catalogo Ferramenta'!R255</x:f>
        <x:v>31</x:v>
      </x:c>
      <x:c r="R255" t="str">
        <x:f>'Catalogo Ferramenta'!S255</x:f>
        <x:v>B+D_CATALOGO Lo Specialista 2026.pdf</x:v>
      </x:c>
      <x:c r="S255" s="45" t="b">
        <x:f>AND(D255&lt;&gt;"",B255&lt;&gt;"")</x:f>
        <x:v>1</x:v>
      </x:c>
      <x:c r="T255" t="str">
        <x:f>TEXTJOIN("; ",TRUE,IF(D255="","manca nome",""),IF(B255="","manca barcode",""),IF(H255=0,"prezzo costo da compilare",""),IF(I255=0,"prezzo vendita da compilare",""),IF(K255=0,"quantità da compilare",""))</x:f>
        <x:v>quantità da compilare</x:v>
      </x:c>
    </x:row>
    <x:row r="256">
      <x:c r="A256" t="str">
        <x:f>'Catalogo Ferramenta'!A256</x:f>
        <x:v>BD-0255</x:v>
      </x:c>
      <x:c r="B256" t="str">
        <x:f>'Catalogo Ferramenta'!B256</x:f>
        <x:v>5035048658284</x:v>
      </x:c>
      <x:c r="C256" t="str">
        <x:f>'Catalogo Ferramenta'!C256</x:f>
        <x:v>KW1200E-QS</x:v>
      </x:c>
      <x:c r="D256" t="str">
        <x:f>'Catalogo Ferramenta'!D256</x:f>
        <x:v>Elettrofresatrice 1200W</x:v>
      </x:c>
      <x:c r="E256" t="str">
        <x:f>'Catalogo Ferramenta'!E256</x:f>
        <x:v>BLACK+DECKER</x:v>
      </x:c>
      <x:c r="F256" t="str">
        <x:f>'Catalogo Ferramenta'!F256</x:f>
        <x:v>ELETTROUTENSILI</x:v>
      </x:c>
      <x:c r="G256" t="str">
        <x:f>'Catalogo Ferramenta'!G256</x:f>
        <x:v>PIALLETTI, ELETTROFRESATRICI ED ALTRI UTENSILI</x:v>
      </x:c>
      <x:c r="H256" s="12" t="n">
        <x:f>IF('Catalogo Ferramenta'!H256="",0,'Catalogo Ferramenta'!H256)</x:f>
        <x:v>65.5</x:v>
      </x:c>
      <x:c r="I256" s="12" t="n">
        <x:f>IF('Catalogo Ferramenta'!I256="",0,'Catalogo Ferramenta'!I256)</x:f>
        <x:v>79.9</x:v>
      </x:c>
      <x:c r="J256" s="14" t="n">
        <x:f>IF('Catalogo Ferramenta'!J256="",22,'Catalogo Ferramenta'!J256)</x:f>
        <x:v>22</x:v>
      </x:c>
      <x:c r="K256" s="14" t="n">
        <x:f>IF('Catalogo Ferramenta'!K256="",0,'Catalogo Ferramenta'!K256)</x:f>
        <x:v>0</x:v>
      </x:c>
      <x:c r="L256" s="14" t="n">
        <x:f>1</x:f>
        <x:v>1</x:v>
      </x:c>
      <x:c r="M256" t="n">
        <x:f>'Catalogo Ferramenta'!L256</x:f>
        <x:v>0</x:v>
      </x:c>
      <x:c r="N256" t="n">
        <x:f>'Catalogo Ferramenta'!M256</x:f>
        <x:v>0</x:v>
      </x:c>
      <x:c r="O256" t="str">
        <x:f>'Catalogo Ferramenta'!N256</x:f>
        <x:v>BLACK+DECKER</x:v>
      </x:c>
      <x:c r="P256" t="str">
        <x:f>'Catalogo Ferramenta'!P256</x:f>
        <x:v>Catalogo Black+Decker Lo Specialista 2026, pagina 57. Prezzi se presenti: raccomandati dal catalogo.</x:v>
      </x:c>
      <x:c r="Q256" s="14" t="n">
        <x:f>'Catalogo Ferramenta'!R256</x:f>
        <x:v>57</x:v>
      </x:c>
      <x:c r="R256" t="str">
        <x:f>'Catalogo Ferramenta'!S256</x:f>
        <x:v>B+D_CATALOGO Lo Specialista 2026.pdf</x:v>
      </x:c>
      <x:c r="S256" s="45" t="b">
        <x:f>AND(D256&lt;&gt;"",B256&lt;&gt;"")</x:f>
        <x:v>1</x:v>
      </x:c>
      <x:c r="T256" t="str">
        <x:f>TEXTJOIN("; ",TRUE,IF(D256="","manca nome",""),IF(B256="","manca barcode",""),IF(H256=0,"prezzo costo da compilare",""),IF(I256=0,"prezzo vendita da compilare",""),IF(K256=0,"quantità da compilare",""))</x:f>
        <x:v>quantità da compilare</x:v>
      </x:c>
    </x:row>
    <x:row r="257">
      <x:c r="A257" t="str">
        <x:f>'Catalogo Ferramenta'!A257</x:f>
        <x:v>BD-0256</x:v>
      </x:c>
      <x:c r="B257" t="str">
        <x:f>'Catalogo Ferramenta'!B257</x:f>
        <x:v>5035048658291</x:v>
      </x:c>
      <x:c r="C257" t="str">
        <x:f>'Catalogo Ferramenta'!C257</x:f>
        <x:v>KW1200EKA-QS</x:v>
      </x:c>
      <x:c r="D257" t="str">
        <x:f>'Catalogo Ferramenta'!D257</x:f>
        <x:v>Elettrofresatrice 1200W in valigetta</x:v>
      </x:c>
      <x:c r="E257" t="str">
        <x:f>'Catalogo Ferramenta'!E257</x:f>
        <x:v>BLACK+DECKER</x:v>
      </x:c>
      <x:c r="F257" t="str">
        <x:f>'Catalogo Ferramenta'!F257</x:f>
        <x:v>ELETTROUTENSILI</x:v>
      </x:c>
      <x:c r="G257" t="str">
        <x:f>'Catalogo Ferramenta'!G257</x:f>
        <x:v>PIALLETTI, ELETTROFRESATRICI ED ALTRI UTENSILI</x:v>
      </x:c>
      <x:c r="H257" s="12" t="n">
        <x:f>IF('Catalogo Ferramenta'!H257="",0,'Catalogo Ferramenta'!H257)</x:f>
        <x:v>90.1</x:v>
      </x:c>
      <x:c r="I257" s="12" t="n">
        <x:f>IF('Catalogo Ferramenta'!I257="",0,'Catalogo Ferramenta'!I257)</x:f>
        <x:v>109.9</x:v>
      </x:c>
      <x:c r="J257" s="14" t="n">
        <x:f>IF('Catalogo Ferramenta'!J257="",22,'Catalogo Ferramenta'!J257)</x:f>
        <x:v>22</x:v>
      </x:c>
      <x:c r="K257" s="14" t="n">
        <x:f>IF('Catalogo Ferramenta'!K257="",0,'Catalogo Ferramenta'!K257)</x:f>
        <x:v>0</x:v>
      </x:c>
      <x:c r="L257" s="14" t="n">
        <x:f>1</x:f>
        <x:v>1</x:v>
      </x:c>
      <x:c r="M257" t="n">
        <x:f>'Catalogo Ferramenta'!L257</x:f>
        <x:v>0</x:v>
      </x:c>
      <x:c r="N257" t="n">
        <x:f>'Catalogo Ferramenta'!M257</x:f>
        <x:v>0</x:v>
      </x:c>
      <x:c r="O257" t="str">
        <x:f>'Catalogo Ferramenta'!N257</x:f>
        <x:v>BLACK+DECKER</x:v>
      </x:c>
      <x:c r="P257" t="str">
        <x:f>'Catalogo Ferramenta'!P257</x:f>
        <x:v>Catalogo Black+Decker Lo Specialista 2026, pagina 57. Prezzi se presenti: raccomandati dal catalogo.</x:v>
      </x:c>
      <x:c r="Q257" s="14" t="n">
        <x:f>'Catalogo Ferramenta'!R257</x:f>
        <x:v>57</x:v>
      </x:c>
      <x:c r="R257" t="str">
        <x:f>'Catalogo Ferramenta'!S257</x:f>
        <x:v>B+D_CATALOGO Lo Specialista 2026.pdf</x:v>
      </x:c>
      <x:c r="S257" s="45" t="b">
        <x:f>AND(D257&lt;&gt;"",B257&lt;&gt;"")</x:f>
        <x:v>1</x:v>
      </x:c>
      <x:c r="T257" t="str">
        <x:f>TEXTJOIN("; ",TRUE,IF(D257="","manca nome",""),IF(B257="","manca barcode",""),IF(H257=0,"prezzo costo da compilare",""),IF(I257=0,"prezzo vendita da compilare",""),IF(K257=0,"quantità da compilare",""))</x:f>
        <x:v>quantità da compilare</x:v>
      </x:c>
    </x:row>
    <x:row r="258">
      <x:c r="A258" t="str">
        <x:f>'Catalogo Ferramenta'!A258</x:f>
        <x:v>BD-0257</x:v>
      </x:c>
      <x:c r="B258" t="str">
        <x:f>'Catalogo Ferramenta'!B258</x:f>
        <x:v>5035048312070</x:v>
      </x:c>
      <x:c r="C258" t="str">
        <x:f>'Catalogo Ferramenta'!C258</x:f>
        <x:v>KW750K-QS</x:v>
      </x:c>
      <x:c r="D258" t="str">
        <x:f>'Catalogo Ferramenta'!D258</x:f>
        <x:v>Pialletto 750W in valigetta</x:v>
      </x:c>
      <x:c r="E258" t="str">
        <x:f>'Catalogo Ferramenta'!E258</x:f>
        <x:v>BLACK+DECKER</x:v>
      </x:c>
      <x:c r="F258" t="str">
        <x:f>'Catalogo Ferramenta'!F258</x:f>
        <x:v>ELETTROUTENSILI</x:v>
      </x:c>
      <x:c r="G258" t="str">
        <x:f>'Catalogo Ferramenta'!G258</x:f>
        <x:v>PIALLETTI, ELETTROFRESATRICI ED ALTRI UTENSILI</x:v>
      </x:c>
      <x:c r="H258" s="12" t="n">
        <x:f>IF('Catalogo Ferramenta'!H258="",0,'Catalogo Ferramenta'!H258)</x:f>
        <x:v>81.9</x:v>
      </x:c>
      <x:c r="I258" s="12" t="n">
        <x:f>IF('Catalogo Ferramenta'!I258="",0,'Catalogo Ferramenta'!I258)</x:f>
        <x:v>99.9</x:v>
      </x:c>
      <x:c r="J258" s="14" t="n">
        <x:f>IF('Catalogo Ferramenta'!J258="",22,'Catalogo Ferramenta'!J258)</x:f>
        <x:v>22</x:v>
      </x:c>
      <x:c r="K258" s="14" t="n">
        <x:f>IF('Catalogo Ferramenta'!K258="",0,'Catalogo Ferramenta'!K258)</x:f>
        <x:v>0</x:v>
      </x:c>
      <x:c r="L258" s="14" t="n">
        <x:f>1</x:f>
        <x:v>1</x:v>
      </x:c>
      <x:c r="M258" t="n">
        <x:f>'Catalogo Ferramenta'!L258</x:f>
        <x:v>0</x:v>
      </x:c>
      <x:c r="N258" t="n">
        <x:f>'Catalogo Ferramenta'!M258</x:f>
        <x:v>0</x:v>
      </x:c>
      <x:c r="O258" t="str">
        <x:f>'Catalogo Ferramenta'!N258</x:f>
        <x:v>BLACK+DECKER</x:v>
      </x:c>
      <x:c r="P258" t="str">
        <x:f>'Catalogo Ferramenta'!P258</x:f>
        <x:v>Catalogo Black+Decker Lo Specialista 2026, pagina 56. Prezzi se presenti: raccomandati dal catalogo.</x:v>
      </x:c>
      <x:c r="Q258" s="14" t="n">
        <x:f>'Catalogo Ferramenta'!R258</x:f>
        <x:v>56</x:v>
      </x:c>
      <x:c r="R258" t="str">
        <x:f>'Catalogo Ferramenta'!S258</x:f>
        <x:v>B+D_CATALOGO Lo Specialista 2026.pdf</x:v>
      </x:c>
      <x:c r="S258" s="45" t="b">
        <x:f>AND(D258&lt;&gt;"",B258&lt;&gt;"")</x:f>
        <x:v>1</x:v>
      </x:c>
      <x:c r="T258" t="str">
        <x:f>TEXTJOIN("; ",TRUE,IF(D258="","manca nome",""),IF(B258="","manca barcode",""),IF(H258=0,"prezzo costo da compilare",""),IF(I258=0,"prezzo vendita da compilare",""),IF(K258=0,"quantità da compilare",""))</x:f>
        <x:v>quantità da compilare</x:v>
      </x:c>
    </x:row>
    <x:row r="259">
      <x:c r="A259" t="str">
        <x:f>'Catalogo Ferramenta'!A259</x:f>
        <x:v>BD-0258</x:v>
      </x:c>
      <x:c r="B259" t="str">
        <x:f>'Catalogo Ferramenta'!B259</x:f>
        <x:v>5035048331491</x:v>
      </x:c>
      <x:c r="C259" t="str">
        <x:f>'Catalogo Ferramenta'!C259</x:f>
        <x:v>KX1650-QS</x:v>
      </x:c>
      <x:c r="D259" t="str">
        <x:f>'Catalogo Ferramenta'!D259</x:f>
        <x:v>Pistola termica - Sverniciatore 1700W</x:v>
      </x:c>
      <x:c r="E259" t="str">
        <x:f>'Catalogo Ferramenta'!E259</x:f>
        <x:v>BLACK+DECKER</x:v>
      </x:c>
      <x:c r="F259" t="str">
        <x:f>'Catalogo Ferramenta'!F259</x:f>
        <x:v>ELETTROUTENSILI</x:v>
      </x:c>
      <x:c r="G259" t="str">
        <x:f>'Catalogo Ferramenta'!G259</x:f>
        <x:v>FINITURA INTERNI E PITTURA</x:v>
      </x:c>
      <x:c r="H259" s="12" t="n">
        <x:f>IF('Catalogo Ferramenta'!H259="",0,'Catalogo Ferramenta'!H259)</x:f>
        <x:v>26.1</x:v>
      </x:c>
      <x:c r="I259" s="12" t="n">
        <x:f>IF('Catalogo Ferramenta'!I259="",0,'Catalogo Ferramenta'!I259)</x:f>
        <x:v>31.8</x:v>
      </x:c>
      <x:c r="J259" s="14" t="n">
        <x:f>IF('Catalogo Ferramenta'!J259="",22,'Catalogo Ferramenta'!J259)</x:f>
        <x:v>22</x:v>
      </x:c>
      <x:c r="K259" s="14" t="n">
        <x:f>IF('Catalogo Ferramenta'!K259="",0,'Catalogo Ferramenta'!K259)</x:f>
        <x:v>0</x:v>
      </x:c>
      <x:c r="L259" s="14" t="n">
        <x:f>1</x:f>
        <x:v>1</x:v>
      </x:c>
      <x:c r="M259" t="n">
        <x:f>'Catalogo Ferramenta'!L259</x:f>
        <x:v>0</x:v>
      </x:c>
      <x:c r="N259" t="n">
        <x:f>'Catalogo Ferramenta'!M259</x:f>
        <x:v>0</x:v>
      </x:c>
      <x:c r="O259" t="str">
        <x:f>'Catalogo Ferramenta'!N259</x:f>
        <x:v>BLACK+DECKER</x:v>
      </x:c>
      <x:c r="P259" t="str">
        <x:f>'Catalogo Ferramenta'!P259</x:f>
        <x:v>Catalogo Black+Decker Lo Specialista 2026, pagina 63. Prezzi se presenti: raccomandati dal catalogo.</x:v>
      </x:c>
      <x:c r="Q259" s="14" t="n">
        <x:f>'Catalogo Ferramenta'!R259</x:f>
        <x:v>63</x:v>
      </x:c>
      <x:c r="R259" t="str">
        <x:f>'Catalogo Ferramenta'!S259</x:f>
        <x:v>B+D_CATALOGO Lo Specialista 2026.pdf</x:v>
      </x:c>
      <x:c r="S259" s="45" t="b">
        <x:f>AND(D259&lt;&gt;"",B259&lt;&gt;"")</x:f>
        <x:v>1</x:v>
      </x:c>
      <x:c r="T259" t="str">
        <x:f>TEXTJOIN("; ",TRUE,IF(D259="","manca nome",""),IF(B259="","manca barcode",""),IF(H259=0,"prezzo costo da compilare",""),IF(I259=0,"prezzo vendita da compilare",""),IF(K259=0,"quantità da compilare",""))</x:f>
        <x:v>quantità da compilare</x:v>
      </x:c>
    </x:row>
    <x:row r="260">
      <x:c r="A260" t="str">
        <x:f>'Catalogo Ferramenta'!A260</x:f>
        <x:v>BD-0259</x:v>
      </x:c>
      <x:c r="B260" t="str">
        <x:f>'Catalogo Ferramenta'!B260</x:f>
        <x:v>5035048444054</x:v>
      </x:c>
      <x:c r="C260" t="str">
        <x:f>'Catalogo Ferramenta'!C260</x:f>
        <x:v>KX2001-QS</x:v>
      </x:c>
      <x:c r="D260" t="str">
        <x:f>'Catalogo Ferramenta'!D260</x:f>
        <x:v>Pistola termica - Sverniciatore 2000W</x:v>
      </x:c>
      <x:c r="E260" t="str">
        <x:f>'Catalogo Ferramenta'!E260</x:f>
        <x:v>BLACK+DECKER</x:v>
      </x:c>
      <x:c r="F260" t="str">
        <x:f>'Catalogo Ferramenta'!F260</x:f>
        <x:v>ELETTROUTENSILI</x:v>
      </x:c>
      <x:c r="G260" t="str">
        <x:f>'Catalogo Ferramenta'!G260</x:f>
        <x:v>FINITURA INTERNI E PITTURA</x:v>
      </x:c>
      <x:c r="H260" s="12" t="n">
        <x:f>IF('Catalogo Ferramenta'!H260="",0,'Catalogo Ferramenta'!H260)</x:f>
        <x:v>37.6</x:v>
      </x:c>
      <x:c r="I260" s="12" t="n">
        <x:f>IF('Catalogo Ferramenta'!I260="",0,'Catalogo Ferramenta'!I260)</x:f>
        <x:v>45.9</x:v>
      </x:c>
      <x:c r="J260" s="14" t="n">
        <x:f>IF('Catalogo Ferramenta'!J260="",22,'Catalogo Ferramenta'!J260)</x:f>
        <x:v>22</x:v>
      </x:c>
      <x:c r="K260" s="14" t="n">
        <x:f>IF('Catalogo Ferramenta'!K260="",0,'Catalogo Ferramenta'!K260)</x:f>
        <x:v>0</x:v>
      </x:c>
      <x:c r="L260" s="14" t="n">
        <x:f>1</x:f>
        <x:v>1</x:v>
      </x:c>
      <x:c r="M260" t="n">
        <x:f>'Catalogo Ferramenta'!L260</x:f>
        <x:v>0</x:v>
      </x:c>
      <x:c r="N260" t="n">
        <x:f>'Catalogo Ferramenta'!M260</x:f>
        <x:v>0</x:v>
      </x:c>
      <x:c r="O260" t="str">
        <x:f>'Catalogo Ferramenta'!N260</x:f>
        <x:v>BLACK+DECKER</x:v>
      </x:c>
      <x:c r="P260" t="str">
        <x:f>'Catalogo Ferramenta'!P260</x:f>
        <x:v>Catalogo Black+Decker Lo Specialista 2026, pagina 64. Prezzi se presenti: raccomandati dal catalogo.</x:v>
      </x:c>
      <x:c r="Q260" s="14" t="n">
        <x:f>'Catalogo Ferramenta'!R260</x:f>
        <x:v>64</x:v>
      </x:c>
      <x:c r="R260" t="str">
        <x:f>'Catalogo Ferramenta'!S260</x:f>
        <x:v>B+D_CATALOGO Lo Specialista 2026.pdf</x:v>
      </x:c>
      <x:c r="S260" s="45" t="b">
        <x:f>AND(D260&lt;&gt;"",B260&lt;&gt;"")</x:f>
        <x:v>1</x:v>
      </x:c>
      <x:c r="T260" t="str">
        <x:f>TEXTJOIN("; ",TRUE,IF(D260="","manca nome",""),IF(B260="","manca barcode",""),IF(H260=0,"prezzo costo da compilare",""),IF(I260=0,"prezzo vendita da compilare",""),IF(K260=0,"quantità da compilare",""))</x:f>
        <x:v>quantità da compilare</x:v>
      </x:c>
    </x:row>
    <x:row r="261">
      <x:c r="A261" t="str">
        <x:f>'Catalogo Ferramenta'!A261</x:f>
        <x:v>BD-0260</x:v>
      </x:c>
      <x:c r="B261" t="str">
        <x:f>'Catalogo Ferramenta'!B261</x:f>
        <x:v>5035048331521</x:v>
      </x:c>
      <x:c r="C261" t="str">
        <x:f>'Catalogo Ferramenta'!C261</x:f>
        <x:v>KX2200K-QS</x:v>
      </x:c>
      <x:c r="D261" t="str">
        <x:f>'Catalogo Ferramenta'!D261</x:f>
        <x:v>Pistola termica - Sverniciatore 2000W in valigetta</x:v>
      </x:c>
      <x:c r="E261" t="str">
        <x:f>'Catalogo Ferramenta'!E261</x:f>
        <x:v>BLACK+DECKER</x:v>
      </x:c>
      <x:c r="F261" t="str">
        <x:f>'Catalogo Ferramenta'!F261</x:f>
        <x:v>ELETTROUTENSILI</x:v>
      </x:c>
      <x:c r="G261" t="str">
        <x:f>'Catalogo Ferramenta'!G261</x:f>
        <x:v>FINITURA INTERNI E PITTURA</x:v>
      </x:c>
      <x:c r="H261" s="12" t="n">
        <x:f>IF('Catalogo Ferramenta'!H261="",0,'Catalogo Ferramenta'!H261)</x:f>
        <x:v>49.1</x:v>
      </x:c>
      <x:c r="I261" s="12" t="n">
        <x:f>IF('Catalogo Ferramenta'!I261="",0,'Catalogo Ferramenta'!I261)</x:f>
        <x:v>59.9</x:v>
      </x:c>
      <x:c r="J261" s="14" t="n">
        <x:f>IF('Catalogo Ferramenta'!J261="",22,'Catalogo Ferramenta'!J261)</x:f>
        <x:v>22</x:v>
      </x:c>
      <x:c r="K261" s="14" t="n">
        <x:f>IF('Catalogo Ferramenta'!K261="",0,'Catalogo Ferramenta'!K261)</x:f>
        <x:v>0</x:v>
      </x:c>
      <x:c r="L261" s="14" t="n">
        <x:f>1</x:f>
        <x:v>1</x:v>
      </x:c>
      <x:c r="M261" t="n">
        <x:f>'Catalogo Ferramenta'!L261</x:f>
        <x:v>0</x:v>
      </x:c>
      <x:c r="N261" t="n">
        <x:f>'Catalogo Ferramenta'!M261</x:f>
        <x:v>0</x:v>
      </x:c>
      <x:c r="O261" t="str">
        <x:f>'Catalogo Ferramenta'!N261</x:f>
        <x:v>BLACK+DECKER</x:v>
      </x:c>
      <x:c r="P261" t="str">
        <x:f>'Catalogo Ferramenta'!P261</x:f>
        <x:v>Catalogo Black+Decker Lo Specialista 2026, pagina 64. Prezzi se presenti: raccomandati dal catalogo.</x:v>
      </x:c>
      <x:c r="Q261" s="14" t="n">
        <x:f>'Catalogo Ferramenta'!R261</x:f>
        <x:v>64</x:v>
      </x:c>
      <x:c r="R261" t="str">
        <x:f>'Catalogo Ferramenta'!S261</x:f>
        <x:v>B+D_CATALOGO Lo Specialista 2026.pdf</x:v>
      </x:c>
      <x:c r="S261" s="45" t="b">
        <x:f>AND(D261&lt;&gt;"",B261&lt;&gt;"")</x:f>
        <x:v>1</x:v>
      </x:c>
      <x:c r="T261" t="str">
        <x:f>TEXTJOIN("; ",TRUE,IF(D261="","manca nome",""),IF(B261="","manca barcode",""),IF(H261=0,"prezzo costo da compilare",""),IF(I261=0,"prezzo vendita da compilare",""),IF(K261=0,"quantità da compilare",""))</x:f>
        <x:v>quantità da compilare</x:v>
      </x:c>
    </x:row>
    <x:row r="262">
      <x:c r="A262" t="str">
        <x:f>'Catalogo Ferramenta'!A262</x:f>
        <x:v>BD-0261</x:v>
      </x:c>
      <x:c r="B262" t="str">
        <x:f>'Catalogo Ferramenta'!B262</x:f>
        <x:v>5011402171712</x:v>
      </x:c>
      <x:c r="C262" t="str">
        <x:f>'Catalogo Ferramenta'!C262</x:f>
        <x:v>KX3300-QS</x:v>
      </x:c>
      <x:c r="D262" t="str">
        <x:f>'Catalogo Ferramenta'!D262</x:f>
        <x:v>Utensile a vapore per rimuovere la carta da parati</x:v>
      </x:c>
      <x:c r="E262" t="str">
        <x:f>'Catalogo Ferramenta'!E262</x:f>
        <x:v>BLACK+DECKER</x:v>
      </x:c>
      <x:c r="F262" t="str">
        <x:f>'Catalogo Ferramenta'!F262</x:f>
        <x:v>ELETTROUTENSILI</x:v>
      </x:c>
      <x:c r="G262" t="str">
        <x:f>'Catalogo Ferramenta'!G262</x:f>
        <x:v>FINITURA INTERNI E PITTURA</x:v>
      </x:c>
      <x:c r="H262" s="12" t="n">
        <x:f>IF('Catalogo Ferramenta'!H262="",0,'Catalogo Ferramenta'!H262)</x:f>
        <x:v>57.3</x:v>
      </x:c>
      <x:c r="I262" s="12" t="n">
        <x:f>IF('Catalogo Ferramenta'!I262="",0,'Catalogo Ferramenta'!I262)</x:f>
        <x:v>69.9</x:v>
      </x:c>
      <x:c r="J262" s="14" t="n">
        <x:f>IF('Catalogo Ferramenta'!J262="",22,'Catalogo Ferramenta'!J262)</x:f>
        <x:v>22</x:v>
      </x:c>
      <x:c r="K262" s="14" t="n">
        <x:f>IF('Catalogo Ferramenta'!K262="",0,'Catalogo Ferramenta'!K262)</x:f>
        <x:v>0</x:v>
      </x:c>
      <x:c r="L262" s="14" t="n">
        <x:f>1</x:f>
        <x:v>1</x:v>
      </x:c>
      <x:c r="M262" t="n">
        <x:f>'Catalogo Ferramenta'!L262</x:f>
        <x:v>0</x:v>
      </x:c>
      <x:c r="N262" t="n">
        <x:f>'Catalogo Ferramenta'!M262</x:f>
        <x:v>0</x:v>
      </x:c>
      <x:c r="O262" t="str">
        <x:f>'Catalogo Ferramenta'!N262</x:f>
        <x:v>BLACK+DECKER</x:v>
      </x:c>
      <x:c r="P262" t="str">
        <x:f>'Catalogo Ferramenta'!P262</x:f>
        <x:v>Catalogo Black+Decker Lo Specialista 2026, pagina 65. Prezzi se presenti: raccomandati dal catalogo.</x:v>
      </x:c>
      <x:c r="Q262" s="14" t="n">
        <x:f>'Catalogo Ferramenta'!R262</x:f>
        <x:v>65</x:v>
      </x:c>
      <x:c r="R262" t="str">
        <x:f>'Catalogo Ferramenta'!S262</x:f>
        <x:v>B+D_CATALOGO Lo Specialista 2026.pdf</x:v>
      </x:c>
      <x:c r="S262" s="45" t="b">
        <x:f>AND(D262&lt;&gt;"",B262&lt;&gt;"")</x:f>
        <x:v>1</x:v>
      </x:c>
      <x:c r="T262" t="str">
        <x:f>TEXTJOIN("; ",TRUE,IF(D262="","manca nome",""),IF(B262="","manca barcode",""),IF(H262=0,"prezzo costo da compilare",""),IF(I262=0,"prezzo vendita da compilare",""),IF(K262=0,"quantità da compilare",""))</x:f>
        <x:v>quantità da compilare</x:v>
      </x:c>
    </x:row>
    <x:row r="263">
      <x:c r="A263" t="str">
        <x:f>'Catalogo Ferramenta'!A263</x:f>
        <x:v>BD-0262</x:v>
      </x:c>
      <x:c r="B263" t="str">
        <x:f>'Catalogo Ferramenta'!B263</x:f>
        <x:v>5035048653807</x:v>
      </x:c>
      <x:c r="C263" t="str">
        <x:f>'Catalogo Ferramenta'!C263</x:f>
        <x:v>MT300SA2-QS</x:v>
      </x:c>
      <x:c r="D263" t="str">
        <x:f>'Catalogo Ferramenta'!D263</x:f>
        <x:v>Utensile multifunzione oscillante a filo 300W</x:v>
      </x:c>
      <x:c r="E263" t="str">
        <x:f>'Catalogo Ferramenta'!E263</x:f>
        <x:v>BLACK+DECKER</x:v>
      </x:c>
      <x:c r="F263" t="str">
        <x:f>'Catalogo Ferramenta'!F263</x:f>
        <x:v>ELETTROUTENSILI</x:v>
      </x:c>
      <x:c r="G263" t="str">
        <x:f>'Catalogo Ferramenta'!G263</x:f>
        <x:v>PIALLETTI, ELETTROFRESATRICI ED ALTRI UTENSILI</x:v>
      </x:c>
      <x:c r="H263" s="12" t="n">
        <x:f>IF('Catalogo Ferramenta'!H263="",0,'Catalogo Ferramenta'!H263)</x:f>
        <x:v>81.9</x:v>
      </x:c>
      <x:c r="I263" s="12" t="n">
        <x:f>IF('Catalogo Ferramenta'!I263="",0,'Catalogo Ferramenta'!I263)</x:f>
        <x:v>99.9</x:v>
      </x:c>
      <x:c r="J263" s="14" t="n">
        <x:f>IF('Catalogo Ferramenta'!J263="",22,'Catalogo Ferramenta'!J263)</x:f>
        <x:v>22</x:v>
      </x:c>
      <x:c r="K263" s="14" t="n">
        <x:f>IF('Catalogo Ferramenta'!K263="",0,'Catalogo Ferramenta'!K263)</x:f>
        <x:v>0</x:v>
      </x:c>
      <x:c r="L263" s="14" t="n">
        <x:f>1</x:f>
        <x:v>1</x:v>
      </x:c>
      <x:c r="M263" t="n">
        <x:f>'Catalogo Ferramenta'!L263</x:f>
        <x:v>0</x:v>
      </x:c>
      <x:c r="N263" t="n">
        <x:f>'Catalogo Ferramenta'!M263</x:f>
        <x:v>0</x:v>
      </x:c>
      <x:c r="O263" t="str">
        <x:f>'Catalogo Ferramenta'!N263</x:f>
        <x:v>BLACK+DECKER</x:v>
      </x:c>
      <x:c r="P263" t="str">
        <x:f>'Catalogo Ferramenta'!P263</x:f>
        <x:v>Catalogo Black+Decker Lo Specialista 2026, pagina 58. Prezzi se presenti: raccomandati dal catalogo.</x:v>
      </x:c>
      <x:c r="Q263" s="14" t="n">
        <x:f>'Catalogo Ferramenta'!R263</x:f>
        <x:v>58</x:v>
      </x:c>
      <x:c r="R263" t="str">
        <x:f>'Catalogo Ferramenta'!S263</x:f>
        <x:v>B+D_CATALOGO Lo Specialista 2026.pdf</x:v>
      </x:c>
      <x:c r="S263" s="45" t="b">
        <x:f>AND(D263&lt;&gt;"",B263&lt;&gt;"")</x:f>
        <x:v>1</x:v>
      </x:c>
      <x:c r="T263" t="str">
        <x:f>TEXTJOIN("; ",TRUE,IF(D263="","manca nome",""),IF(B263="","manca barcode",""),IF(H263=0,"prezzo costo da compilare",""),IF(I263=0,"prezzo vendita da compilare",""),IF(K263=0,"quantità da compilare",""))</x:f>
        <x:v>quantità da compilare</x:v>
      </x:c>
    </x:row>
    <x:row r="264">
      <x:c r="A264" t="str">
        <x:f>'Catalogo Ferramenta'!A264</x:f>
        <x:v>BD-0263</x:v>
      </x:c>
      <x:c r="B264" t="str">
        <x:f>'Catalogo Ferramenta'!B264</x:f>
        <x:v>5035048636602</x:v>
      </x:c>
      <x:c r="C264" t="str">
        <x:f>'Catalogo Ferramenta'!C264</x:f>
        <x:v>PH5551-QS</x:v>
      </x:c>
      <x:c r="D264" t="str">
        <x:f>'Catalogo Ferramenta'!D264</x:f>
        <x:v>Tagliasiepi a filo 550W a testa orientabile</x:v>
      </x:c>
      <x:c r="E264" t="str">
        <x:f>'Catalogo Ferramenta'!E264</x:f>
        <x:v>BLACK+DECKER</x:v>
      </x:c>
      <x:c r="F264" t="str">
        <x:f>'Catalogo Ferramenta'!F264</x:f>
        <x:v>GAMMA GIARDINO</x:v>
      </x:c>
      <x:c r="G264" t="str">
        <x:f>'Catalogo Ferramenta'!G264</x:f>
        <x:v>TAGLIASIEPI E CESOIE</x:v>
      </x:c>
      <x:c r="H264" s="12" t="n">
        <x:f>IF('Catalogo Ferramenta'!H264="",0,'Catalogo Ferramenta'!H264)</x:f>
        <x:v>106.5</x:v>
      </x:c>
      <x:c r="I264" s="12" t="n">
        <x:f>IF('Catalogo Ferramenta'!I264="",0,'Catalogo Ferramenta'!I264)</x:f>
        <x:v>129.9</x:v>
      </x:c>
      <x:c r="J264" s="14" t="n">
        <x:f>IF('Catalogo Ferramenta'!J264="",22,'Catalogo Ferramenta'!J264)</x:f>
        <x:v>22</x:v>
      </x:c>
      <x:c r="K264" s="14" t="n">
        <x:f>IF('Catalogo Ferramenta'!K264="",0,'Catalogo Ferramenta'!K264)</x:f>
        <x:v>0</x:v>
      </x:c>
      <x:c r="L264" s="14" t="n">
        <x:f>1</x:f>
        <x:v>1</x:v>
      </x:c>
      <x:c r="M264" t="n">
        <x:f>'Catalogo Ferramenta'!L264</x:f>
        <x:v>0</x:v>
      </x:c>
      <x:c r="N264" t="n">
        <x:f>'Catalogo Ferramenta'!M264</x:f>
        <x:v>0</x:v>
      </x:c>
      <x:c r="O264" t="str">
        <x:f>'Catalogo Ferramenta'!N264</x:f>
        <x:v>BLACK+DECKER</x:v>
      </x:c>
      <x:c r="P264" t="str">
        <x:f>'Catalogo Ferramenta'!P264</x:f>
        <x:v>Catalogo Black+Decker Lo Specialista 2026, pagina 113. Prezzi se presenti: raccomandati dal catalogo.</x:v>
      </x:c>
      <x:c r="Q264" s="14" t="n">
        <x:f>'Catalogo Ferramenta'!R264</x:f>
        <x:v>113</x:v>
      </x:c>
      <x:c r="R264" t="str">
        <x:f>'Catalogo Ferramenta'!S264</x:f>
        <x:v>B+D_CATALOGO Lo Specialista 2026.pdf</x:v>
      </x:c>
      <x:c r="S264" s="45" t="b">
        <x:f>AND(D264&lt;&gt;"",B264&lt;&gt;"")</x:f>
        <x:v>1</x:v>
      </x:c>
      <x:c r="T264" t="str">
        <x:f>TEXTJOIN("; ",TRUE,IF(D264="","manca nome",""),IF(B264="","manca barcode",""),IF(H264=0,"prezzo costo da compilare",""),IF(I264=0,"prezzo vendita da compilare",""),IF(K264=0,"quantità da compilare",""))</x:f>
        <x:v>quantità da compilare</x:v>
      </x:c>
    </x:row>
    <x:row r="265">
      <x:c r="A265" t="str">
        <x:f>'Catalogo Ferramenta'!A265</x:f>
        <x:v>BD-0264</x:v>
      </x:c>
      <x:c r="B265" t="str">
        <x:f>'Catalogo Ferramenta'!B265</x:f>
        <x:v>5035048554081</x:v>
      </x:c>
      <x:c r="C265" t="str">
        <x:f>'Catalogo Ferramenta'!C265</x:f>
        <x:v>PS7525-QS</x:v>
      </x:c>
      <x:c r="D265" t="str">
        <x:f>'Catalogo Ferramenta'!D265</x:f>
        <x:v>Sega potatrice telescopica a filo 800W</x:v>
      </x:c>
      <x:c r="E265" t="str">
        <x:f>'Catalogo Ferramenta'!E265</x:f>
        <x:v>BLACK+DECKER</x:v>
      </x:c>
      <x:c r="F265" t="str">
        <x:f>'Catalogo Ferramenta'!F265</x:f>
        <x:v>GAMMA GIARDINO</x:v>
      </x:c>
      <x:c r="G265" t="str">
        <x:f>'Catalogo Ferramenta'!G265</x:f>
        <x:v>ELETTROSEGHE E POTATORI</x:v>
      </x:c>
      <x:c r="H265" s="12" t="n">
        <x:f>IF('Catalogo Ferramenta'!H265="",0,'Catalogo Ferramenta'!H265)</x:f>
        <x:v>81.9</x:v>
      </x:c>
      <x:c r="I265" s="12" t="n">
        <x:f>IF('Catalogo Ferramenta'!I265="",0,'Catalogo Ferramenta'!I265)</x:f>
        <x:v>99.9</x:v>
      </x:c>
      <x:c r="J265" s="14" t="n">
        <x:f>IF('Catalogo Ferramenta'!J265="",22,'Catalogo Ferramenta'!J265)</x:f>
        <x:v>22</x:v>
      </x:c>
      <x:c r="K265" s="14" t="n">
        <x:f>IF('Catalogo Ferramenta'!K265="",0,'Catalogo Ferramenta'!K265)</x:f>
        <x:v>0</x:v>
      </x:c>
      <x:c r="L265" s="14" t="n">
        <x:f>1</x:f>
        <x:v>1</x:v>
      </x:c>
      <x:c r="M265" t="n">
        <x:f>'Catalogo Ferramenta'!L265</x:f>
        <x:v>0</x:v>
      </x:c>
      <x:c r="N265" t="n">
        <x:f>'Catalogo Ferramenta'!M265</x:f>
        <x:v>0</x:v>
      </x:c>
      <x:c r="O265" t="str">
        <x:f>'Catalogo Ferramenta'!N265</x:f>
        <x:v>BLACK+DECKER</x:v>
      </x:c>
      <x:c r="P265" t="str">
        <x:f>'Catalogo Ferramenta'!P265</x:f>
        <x:v>Catalogo Black+Decker Lo Specialista 2026, pagina 107. Prezzi se presenti: raccomandati dal catalogo.</x:v>
      </x:c>
      <x:c r="Q265" s="14" t="n">
        <x:f>'Catalogo Ferramenta'!R265</x:f>
        <x:v>107</x:v>
      </x:c>
      <x:c r="R265" t="str">
        <x:f>'Catalogo Ferramenta'!S265</x:f>
        <x:v>B+D_CATALOGO Lo Specialista 2026.pdf</x:v>
      </x:c>
      <x:c r="S265" s="45" t="b">
        <x:f>AND(D265&lt;&gt;"",B265&lt;&gt;"")</x:f>
        <x:v>1</x:v>
      </x:c>
      <x:c r="T265" t="str">
        <x:f>TEXTJOIN("; ",TRUE,IF(D265="","manca nome",""),IF(B265="","manca barcode",""),IF(H265=0,"prezzo costo da compilare",""),IF(I265=0,"prezzo vendita da compilare",""),IF(K265=0,"quantità da compilare",""))</x:f>
        <x:v>quantità da compilare</x:v>
      </x:c>
    </x:row>
    <x:row r="266">
      <x:c r="A266" t="str">
        <x:f>'Catalogo Ferramenta'!A266</x:f>
        <x:v>BD-0265</x:v>
      </x:c>
      <x:c r="B266" t="str">
        <x:f>'Catalogo Ferramenta'!B266</x:f>
        <x:v>5035048839300</x:v>
      </x:c>
      <x:c r="C266" t="str">
        <x:f>'Catalogo Ferramenta'!C266</x:f>
        <x:v>REVSV18D1-QW</x:v>
      </x:c>
      <x:c r="D266" t="str">
        <x:f>'Catalogo Ferramenta'!D266</x:f>
        <x:v>Scopa ricaricabile 18V reviva</x:v>
      </x:c>
      <x:c r="E266" t="str">
        <x:f>'Catalogo Ferramenta'!E266</x:f>
        <x:v>BLACK+DECKER</x:v>
      </x:c>
      <x:c r="F266" t="str">
        <x:f>'Catalogo Ferramenta'!F266</x:f>
        <x:v>CURA DELLA CASA</x:v>
      </x:c>
      <x:c r="G266" t="str">
        <x:f>'Catalogo Ferramenta'!G266</x:f>
        <x:v>CURA DELLA CASA</x:v>
      </x:c>
      <x:c r="H266" s="12" t="n">
        <x:f>IF('Catalogo Ferramenta'!H266="",0,'Catalogo Ferramenta'!H266)</x:f>
        <x:v>131.1</x:v>
      </x:c>
      <x:c r="I266" s="12" t="n">
        <x:f>IF('Catalogo Ferramenta'!I266="",0,'Catalogo Ferramenta'!I266)</x:f>
        <x:v>159.9</x:v>
      </x:c>
      <x:c r="J266" s="14" t="n">
        <x:f>IF('Catalogo Ferramenta'!J266="",22,'Catalogo Ferramenta'!J266)</x:f>
        <x:v>22</x:v>
      </x:c>
      <x:c r="K266" s="14" t="n">
        <x:f>IF('Catalogo Ferramenta'!K266="",0,'Catalogo Ferramenta'!K266)</x:f>
        <x:v>0</x:v>
      </x:c>
      <x:c r="L266" s="14" t="n">
        <x:f>1</x:f>
        <x:v>1</x:v>
      </x:c>
      <x:c r="M266" t="n">
        <x:f>'Catalogo Ferramenta'!L266</x:f>
        <x:v>0</x:v>
      </x:c>
      <x:c r="N266" t="n">
        <x:f>'Catalogo Ferramenta'!M266</x:f>
        <x:v>0</x:v>
      </x:c>
      <x:c r="O266" t="str">
        <x:f>'Catalogo Ferramenta'!N266</x:f>
        <x:v>BLACK+DECKER</x:v>
      </x:c>
      <x:c r="P266" t="str">
        <x:f>'Catalogo Ferramenta'!P266</x:f>
        <x:v>Catalogo Black+Decker Lo Specialista 2026, pagina 122. Prezzi se presenti: raccomandati dal catalogo.</x:v>
      </x:c>
      <x:c r="Q266" s="14" t="n">
        <x:f>'Catalogo Ferramenta'!R266</x:f>
        <x:v>122</x:v>
      </x:c>
      <x:c r="R266" t="str">
        <x:f>'Catalogo Ferramenta'!S266</x:f>
        <x:v>B+D_CATALOGO Lo Specialista 2026.pdf</x:v>
      </x:c>
      <x:c r="S266" s="45" t="b">
        <x:f>AND(D266&lt;&gt;"",B266&lt;&gt;"")</x:f>
        <x:v>1</x:v>
      </x:c>
      <x:c r="T266" t="str">
        <x:f>TEXTJOIN("; ",TRUE,IF(D266="","manca nome",""),IF(B266="","manca barcode",""),IF(H266=0,"prezzo costo da compilare",""),IF(I266=0,"prezzo vendita da compilare",""),IF(K266=0,"quantità da compilare",""))</x:f>
        <x:v>quantità da compilare</x:v>
      </x:c>
    </x:row>
    <x:row r="267">
      <x:c r="A267" t="str">
        <x:f>'Catalogo Ferramenta'!A267</x:f>
        <x:v>BD-0266</x:v>
      </x:c>
      <x:c r="B267" t="str">
        <x:f>'Catalogo Ferramenta'!B267</x:f>
        <x:v>5035048434666</x:v>
      </x:c>
      <x:c r="C267" t="str">
        <x:f>'Catalogo Ferramenta'!C267</x:f>
        <x:v>RS890K-QS</x:v>
      </x:c>
      <x:c r="D267" t="str">
        <x:f>'Catalogo Ferramenta'!D267</x:f>
        <x:v>Sega multifunzione 500W Autoselect® Scorpion® in valigetta</x:v>
      </x:c>
      <x:c r="E267" t="str">
        <x:f>'Catalogo Ferramenta'!E267</x:f>
        <x:v>BLACK+DECKER</x:v>
      </x:c>
      <x:c r="F267" t="str">
        <x:f>'Catalogo Ferramenta'!F267</x:f>
        <x:v>ELETTROUTENSILI</x:v>
      </x:c>
      <x:c r="G267" t="str">
        <x:f>'Catalogo Ferramenta'!G267</x:f>
        <x:v>UTENSILI PER TAGLIARE</x:v>
      </x:c>
      <x:c r="H267" s="12" t="n">
        <x:f>IF('Catalogo Ferramenta'!H267="",0,'Catalogo Ferramenta'!H267)</x:f>
        <x:v>81.9</x:v>
      </x:c>
      <x:c r="I267" s="12" t="n">
        <x:f>IF('Catalogo Ferramenta'!I267="",0,'Catalogo Ferramenta'!I267)</x:f>
        <x:v>99.9</x:v>
      </x:c>
      <x:c r="J267" s="14" t="n">
        <x:f>IF('Catalogo Ferramenta'!J267="",22,'Catalogo Ferramenta'!J267)</x:f>
        <x:v>22</x:v>
      </x:c>
      <x:c r="K267" s="14" t="n">
        <x:f>IF('Catalogo Ferramenta'!K267="",0,'Catalogo Ferramenta'!K267)</x:f>
        <x:v>0</x:v>
      </x:c>
      <x:c r="L267" s="14" t="n">
        <x:f>1</x:f>
        <x:v>1</x:v>
      </x:c>
      <x:c r="M267" t="n">
        <x:f>'Catalogo Ferramenta'!L267</x:f>
        <x:v>0</x:v>
      </x:c>
      <x:c r="N267" t="n">
        <x:f>'Catalogo Ferramenta'!M267</x:f>
        <x:v>0</x:v>
      </x:c>
      <x:c r="O267" t="str">
        <x:f>'Catalogo Ferramenta'!N267</x:f>
        <x:v>BLACK+DECKER</x:v>
      </x:c>
      <x:c r="P267" t="str">
        <x:f>'Catalogo Ferramenta'!P267</x:f>
        <x:v>Catalogo Black+Decker Lo Specialista 2026, pagina 34. Prezzi se presenti: raccomandati dal catalogo.</x:v>
      </x:c>
      <x:c r="Q267" s="14" t="n">
        <x:f>'Catalogo Ferramenta'!R267</x:f>
        <x:v>34</x:v>
      </x:c>
      <x:c r="R267" t="str">
        <x:f>'Catalogo Ferramenta'!S267</x:f>
        <x:v>B+D_CATALOGO Lo Specialista 2026.pdf</x:v>
      </x:c>
      <x:c r="S267" s="45" t="b">
        <x:f>AND(D267&lt;&gt;"",B267&lt;&gt;"")</x:f>
        <x:v>1</x:v>
      </x:c>
      <x:c r="T267" t="str">
        <x:f>TEXTJOIN("; ",TRUE,IF(D267="","manca nome",""),IF(B267="","manca barcode",""),IF(H267=0,"prezzo costo da compilare",""),IF(I267=0,"prezzo vendita da compilare",""),IF(K267=0,"quantità da compilare",""))</x:f>
        <x:v>quantità da compilare</x:v>
      </x:c>
    </x:row>
    <x:row r="268">
      <x:c r="A268" t="str">
        <x:f>'Catalogo Ferramenta'!A268</x:f>
        <x:v>BD-0267</x:v>
      </x:c>
      <x:c r="B268" t="str">
        <x:f>'Catalogo Ferramenta'!B268</x:f>
        <x:v>5035048661918</x:v>
      </x:c>
      <x:c r="C268" t="str">
        <x:f>'Catalogo Ferramenta'!C268</x:f>
        <x:v>ST182320-QW</x:v>
      </x:c>
      <x:c r="D268" t="str">
        <x:f>'Catalogo Ferramenta'!D268</x:f>
        <x:v>Tagliabordi a batteria 18V</x:v>
      </x:c>
      <x:c r="E268" t="str">
        <x:f>'Catalogo Ferramenta'!E268</x:f>
        <x:v>BLACK+DECKER</x:v>
      </x:c>
      <x:c r="F268" t="str">
        <x:f>'Catalogo Ferramenta'!F268</x:f>
        <x:v>GAMMA GIARDINO</x:v>
      </x:c>
      <x:c r="G268" t="str">
        <x:f>'Catalogo Ferramenta'!G268</x:f>
        <x:v>TAGLIABORDI</x:v>
      </x:c>
      <x:c r="H268" s="12" t="n">
        <x:f>IF('Catalogo Ferramenta'!H268="",0,'Catalogo Ferramenta'!H268)</x:f>
        <x:v>81.9</x:v>
      </x:c>
      <x:c r="I268" s="12" t="n">
        <x:f>IF('Catalogo Ferramenta'!I268="",0,'Catalogo Ferramenta'!I268)</x:f>
        <x:v>99.9</x:v>
      </x:c>
      <x:c r="J268" s="14" t="n">
        <x:f>IF('Catalogo Ferramenta'!J268="",22,'Catalogo Ferramenta'!J268)</x:f>
        <x:v>22</x:v>
      </x:c>
      <x:c r="K268" s="14" t="n">
        <x:f>IF('Catalogo Ferramenta'!K268="",0,'Catalogo Ferramenta'!K268)</x:f>
        <x:v>0</x:v>
      </x:c>
      <x:c r="L268" s="14" t="n">
        <x:f>1</x:f>
        <x:v>1</x:v>
      </x:c>
      <x:c r="M268" t="n">
        <x:f>'Catalogo Ferramenta'!L268</x:f>
        <x:v>0</x:v>
      </x:c>
      <x:c r="N268" t="n">
        <x:f>'Catalogo Ferramenta'!M268</x:f>
        <x:v>0</x:v>
      </x:c>
      <x:c r="O268" t="str">
        <x:f>'Catalogo Ferramenta'!N268</x:f>
        <x:v>BLACK+DECKER</x:v>
      </x:c>
      <x:c r="P268" t="str">
        <x:f>'Catalogo Ferramenta'!P268</x:f>
        <x:v>Catalogo Black+Decker Lo Specialista 2026, pagina 94. Prezzi se presenti: raccomandati dal catalogo.</x:v>
      </x:c>
      <x:c r="Q268" s="14" t="n">
        <x:f>'Catalogo Ferramenta'!R268</x:f>
        <x:v>94</x:v>
      </x:c>
      <x:c r="R268" t="str">
        <x:f>'Catalogo Ferramenta'!S268</x:f>
        <x:v>B+D_CATALOGO Lo Specialista 2026.pdf</x:v>
      </x:c>
      <x:c r="S268" s="45" t="b">
        <x:f>AND(D268&lt;&gt;"",B268&lt;&gt;"")</x:f>
        <x:v>1</x:v>
      </x:c>
      <x:c r="T268" t="str">
        <x:f>TEXTJOIN("; ",TRUE,IF(D268="","manca nome",""),IF(B268="","manca barcode",""),IF(H268=0,"prezzo costo da compilare",""),IF(I268=0,"prezzo vendita da compilare",""),IF(K268=0,"quantità da compilare",""))</x:f>
        <x:v>quantità da compilare</x:v>
      </x:c>
    </x:row>
    <x:row r="269">
      <x:c r="A269" t="str">
        <x:f>'Catalogo Ferramenta'!A269</x:f>
        <x:v>BD-0268</x:v>
      </x:c>
      <x:c r="B269" t="str">
        <x:f>'Catalogo Ferramenta'!B269</x:f>
        <x:v>5035048639870</x:v>
      </x:c>
      <x:c r="C269" t="str">
        <x:f>'Catalogo Ferramenta'!C269</x:f>
        <x:v>STC1840EPC-QW</x:v>
      </x:c>
      <x:c r="D269" t="str">
        <x:f>'Catalogo Ferramenta'!D269</x:f>
        <x:v>Tagliabordi a batteria 18V</x:v>
      </x:c>
      <x:c r="E269" t="str">
        <x:f>'Catalogo Ferramenta'!E269</x:f>
        <x:v>BLACK+DECKER</x:v>
      </x:c>
      <x:c r="F269" t="str">
        <x:f>'Catalogo Ferramenta'!F269</x:f>
        <x:v>GAMMA GIARDINO</x:v>
      </x:c>
      <x:c r="G269" t="str">
        <x:f>'Catalogo Ferramenta'!G269</x:f>
        <x:v>TAGLIABORDI</x:v>
      </x:c>
      <x:c r="H269" s="12" t="n">
        <x:f>IF('Catalogo Ferramenta'!H269="",0,'Catalogo Ferramenta'!H269)</x:f>
        <x:v>0</x:v>
      </x:c>
      <x:c r="I269" s="12" t="n">
        <x:f>IF('Catalogo Ferramenta'!I269="",0,'Catalogo Ferramenta'!I269)</x:f>
        <x:v>0</x:v>
      </x:c>
      <x:c r="J269" s="14" t="n">
        <x:f>IF('Catalogo Ferramenta'!J269="",22,'Catalogo Ferramenta'!J269)</x:f>
        <x:v>22</x:v>
      </x:c>
      <x:c r="K269" s="14" t="n">
        <x:f>IF('Catalogo Ferramenta'!K269="",0,'Catalogo Ferramenta'!K269)</x:f>
        <x:v>0</x:v>
      </x:c>
      <x:c r="L269" s="14" t="n">
        <x:f>1</x:f>
        <x:v>1</x:v>
      </x:c>
      <x:c r="M269" t="n">
        <x:f>'Catalogo Ferramenta'!L269</x:f>
        <x:v>0</x:v>
      </x:c>
      <x:c r="N269" t="n">
        <x:f>'Catalogo Ferramenta'!M269</x:f>
        <x:v>0</x:v>
      </x:c>
      <x:c r="O269" t="str">
        <x:f>'Catalogo Ferramenta'!N269</x:f>
        <x:v>BLACK+DECKER</x:v>
      </x:c>
      <x:c r="P269" t="str">
        <x:f>'Catalogo Ferramenta'!P269</x:f>
        <x:v>Catalogo Black+Decker Lo Specialista 2026, pagina 96. Prezzi se presenti: raccomandati dal catalogo.</x:v>
      </x:c>
      <x:c r="Q269" s="14" t="n">
        <x:f>'Catalogo Ferramenta'!R269</x:f>
        <x:v>96</x:v>
      </x:c>
      <x:c r="R269" t="str">
        <x:f>'Catalogo Ferramenta'!S269</x:f>
        <x:v>B+D_CATALOGO Lo Specialista 2026.pdf</x:v>
      </x:c>
      <x:c r="S269" s="45" t="b">
        <x:f>AND(D269&lt;&gt;"",B269&lt;&gt;"")</x:f>
        <x:v>1</x:v>
      </x:c>
      <x:c r="T269" t="str">
        <x:f>TEXTJOIN("; ",TRUE,IF(D269="","manca nome",""),IF(B269="","manca barcode",""),IF(H269=0,"prezzo costo da compilare",""),IF(I269=0,"prezzo vendita da compilare",""),IF(K269=0,"quantità da compilare",""))</x:f>
        <x:v>prezzo costo da compilare; prezzo vendita da compilare; quantità da compilare</x:v>
      </x:c>
    </x:row>
    <x:row r="270">
      <x:c r="A270" t="str">
        <x:f>'Catalogo Ferramenta'!A270</x:f>
        <x:v>BD-0269</x:v>
      </x:c>
      <x:c r="B270" t="str">
        <x:f>'Catalogo Ferramenta'!B270</x:f>
        <x:v>5035048103678</x:v>
      </x:c>
      <x:c r="C270" t="str">
        <x:f>'Catalogo Ferramenta'!C270</x:f>
        <x:v>WM301-XJ</x:v>
      </x:c>
      <x:c r="D270" t="str">
        <x:f>'Catalogo Ferramenta'!D270</x:f>
        <x:v>Banco da lavoro Workmate®</x:v>
      </x:c>
      <x:c r="E270" t="str">
        <x:f>'Catalogo Ferramenta'!E270</x:f>
        <x:v>BLACK+DECKER</x:v>
      </x:c>
      <x:c r="F270" t="str">
        <x:f>'Catalogo Ferramenta'!F270</x:f>
        <x:v>ELETTROUTENSILI</x:v>
      </x:c>
      <x:c r="G270" t="str">
        <x:f>'Catalogo Ferramenta'!G270</x:f>
        <x:v>BANCHI DA LAVORO E LIFESTYLE</x:v>
      </x:c>
      <x:c r="H270" s="12" t="n">
        <x:f>IF('Catalogo Ferramenta'!H270="",0,'Catalogo Ferramenta'!H270)</x:f>
        <x:v>32.7</x:v>
      </x:c>
      <x:c r="I270" s="12" t="n">
        <x:f>IF('Catalogo Ferramenta'!I270="",0,'Catalogo Ferramenta'!I270)</x:f>
        <x:v>39.9</x:v>
      </x:c>
      <x:c r="J270" s="14" t="n">
        <x:f>IF('Catalogo Ferramenta'!J270="",22,'Catalogo Ferramenta'!J270)</x:f>
        <x:v>22</x:v>
      </x:c>
      <x:c r="K270" s="14" t="n">
        <x:f>IF('Catalogo Ferramenta'!K270="",0,'Catalogo Ferramenta'!K270)</x:f>
        <x:v>0</x:v>
      </x:c>
      <x:c r="L270" s="14" t="n">
        <x:f>1</x:f>
        <x:v>1</x:v>
      </x:c>
      <x:c r="M270" t="n">
        <x:f>'Catalogo Ferramenta'!L270</x:f>
        <x:v>0</x:v>
      </x:c>
      <x:c r="N270" t="n">
        <x:f>'Catalogo Ferramenta'!M270</x:f>
        <x:v>0</x:v>
      </x:c>
      <x:c r="O270" t="str">
        <x:f>'Catalogo Ferramenta'!N270</x:f>
        <x:v>BLACK+DECKER</x:v>
      </x:c>
      <x:c r="P270" t="str">
        <x:f>'Catalogo Ferramenta'!P270</x:f>
        <x:v>Catalogo Black+Decker Lo Specialista 2026, pagina 70. Prezzi se presenti: raccomandati dal catalogo.</x:v>
      </x:c>
      <x:c r="Q270" s="14" t="n">
        <x:f>'Catalogo Ferramenta'!R270</x:f>
        <x:v>70</x:v>
      </x:c>
      <x:c r="R270" t="str">
        <x:f>'Catalogo Ferramenta'!S270</x:f>
        <x:v>B+D_CATALOGO Lo Specialista 2026.pdf</x:v>
      </x:c>
      <x:c r="S270" s="45" t="b">
        <x:f>AND(D270&lt;&gt;"",B270&lt;&gt;"")</x:f>
        <x:v>1</x:v>
      </x:c>
      <x:c r="T270" t="str">
        <x:f>TEXTJOIN("; ",TRUE,IF(D270="","manca nome",""),IF(B270="","manca barcode",""),IF(H270=0,"prezzo costo da compilare",""),IF(I270=0,"prezzo vendita da compilare",""),IF(K270=0,"quantità da compilare",""))</x:f>
        <x:v>quantità da compilare</x:v>
      </x:c>
    </x:row>
    <x:row r="271">
      <x:c r="A271" t="str">
        <x:f>'Catalogo Ferramenta'!A271</x:f>
        <x:v>BD-0270</x:v>
      </x:c>
      <x:c r="B271" t="str">
        <x:f>'Catalogo Ferramenta'!B271</x:f>
        <x:v>5011402122400</x:v>
      </x:c>
      <x:c r="C271" t="str">
        <x:f>'Catalogo Ferramenta'!C271</x:f>
        <x:v>WM550-XJ</x:v>
      </x:c>
      <x:c r="D271" t="str">
        <x:f>'Catalogo Ferramenta'!D271</x:f>
        <x:v>Banco da lavoro Workmate®</x:v>
      </x:c>
      <x:c r="E271" t="str">
        <x:f>'Catalogo Ferramenta'!E271</x:f>
        <x:v>BLACK+DECKER</x:v>
      </x:c>
      <x:c r="F271" t="str">
        <x:f>'Catalogo Ferramenta'!F271</x:f>
        <x:v>ELETTROUTENSILI</x:v>
      </x:c>
      <x:c r="G271" t="str">
        <x:f>'Catalogo Ferramenta'!G271</x:f>
        <x:v>BANCHI DA LAVORO E LIFESTYLE</x:v>
      </x:c>
      <x:c r="H271" s="12" t="n">
        <x:f>IF('Catalogo Ferramenta'!H271="",0,'Catalogo Ferramenta'!H271)</x:f>
        <x:v>78.1</x:v>
      </x:c>
      <x:c r="I271" s="12" t="n">
        <x:f>IF('Catalogo Ferramenta'!I271="",0,'Catalogo Ferramenta'!I271)</x:f>
        <x:v>95.28</x:v>
      </x:c>
      <x:c r="J271" s="14" t="n">
        <x:f>IF('Catalogo Ferramenta'!J271="",22,'Catalogo Ferramenta'!J271)</x:f>
        <x:v>22</x:v>
      </x:c>
      <x:c r="K271" s="14" t="n">
        <x:f>IF('Catalogo Ferramenta'!K271="",0,'Catalogo Ferramenta'!K271)</x:f>
        <x:v>0</x:v>
      </x:c>
      <x:c r="L271" s="14" t="n">
        <x:f>1</x:f>
        <x:v>1</x:v>
      </x:c>
      <x:c r="M271" t="n">
        <x:f>'Catalogo Ferramenta'!L271</x:f>
        <x:v>0</x:v>
      </x:c>
      <x:c r="N271" t="n">
        <x:f>'Catalogo Ferramenta'!M271</x:f>
        <x:v>0</x:v>
      </x:c>
      <x:c r="O271" t="str">
        <x:f>'Catalogo Ferramenta'!N271</x:f>
        <x:v>BLACK+DECKER</x:v>
      </x:c>
      <x:c r="P271" t="str">
        <x:f>'Catalogo Ferramenta'!P271</x:f>
        <x:v>Catalogo Black+Decker Lo Specialista 2026, pagina 71. Prezzi se presenti: raccomandati dal catalogo.</x:v>
      </x:c>
      <x:c r="Q271" s="14" t="n">
        <x:f>'Catalogo Ferramenta'!R271</x:f>
        <x:v>71</x:v>
      </x:c>
      <x:c r="R271" t="str">
        <x:f>'Catalogo Ferramenta'!S271</x:f>
        <x:v>B+D_CATALOGO Lo Specialista 2026.pdf</x:v>
      </x:c>
      <x:c r="S271" s="45" t="b">
        <x:f>AND(D271&lt;&gt;"",B271&lt;&gt;"")</x:f>
        <x:v>1</x:v>
      </x:c>
      <x:c r="T271" t="str">
        <x:f>TEXTJOIN("; ",TRUE,IF(D271="","manca nome",""),IF(B271="","manca barcode",""),IF(H271=0,"prezzo costo da compilare",""),IF(I271=0,"prezzo vendita da compilare",""),IF(K271=0,"quantità da compilare",""))</x:f>
        <x:v>quantità da compilare</x:v>
      </x:c>
    </x:row>
  </x:sheetData>
  <x:conditionalFormatting sqref="T2:T271">
    <x:cfRule type="expression" dxfId="2" priority="1">
      <x:formula>T2&lt;&gt;""</x:formula>
    </x:cfRule>
  </x:conditionalFormatting>
  <x:conditionalFormatting sqref="S2:S271">
    <x:cfRule type="expression" dxfId="3" priority="2">
      <x:formula>S2=FALSE</x:formula>
    </x:cfRule>
  </x:conditionalFormatting>
  <x:conditionalFormatting sqref="K2:K271">
    <x:cfRule type="expression" dxfId="4" priority="3">
      <x:formula>K2=0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ee1c606d8f47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46" t="str">
        <x:v>File preparato per import app Ferramenta</x:v>
      </x:c>
      <x:c r="B1" s="46" t="str"/>
    </x:row>
    <x:row r="2">
      <x:c r="A2" s="47" t="str">
        <x:v>Foglio da usare per l'import</x:v>
      </x:c>
      <x:c r="B2" s="18" t="str">
        <x:v>Import_App</x:v>
      </x:c>
    </x:row>
    <x:row r="3">
      <x:c r="A3" s="47" t="str">
        <x:v>Righe prodotto</x:v>
      </x:c>
      <x:c r="B3" s="18" t="n">
        <x:v>270</x:v>
      </x:c>
    </x:row>
    <x:row r="4">
      <x:c r="A4" s="47" t="str">
        <x:v>Campi principali</x:v>
      </x:c>
      <x:c r="B4" s="18" t="str">
        <x:v>id, barcode, nome, marca, categoria, prezzo_costo, prezzo_vendita, quantita, scorta_minima</x:v>
      </x:c>
    </x:row>
    <x:row r="5">
      <x:c r="A5" s="47" t="str">
        <x:v>Note pratiche</x:v>
      </x:c>
      <x:c r="B5" s="18" t="str">
        <x:v>I prezzi e le quantità mancanti sono stati impostati a 0 per evitare celle vuote; controlla la colonna avvisi.</x:v>
      </x:c>
    </x:row>
    <x:row r="6">
      <x:c r="A6" s="47" t="str">
        <x:v>Colonna pronto_import</x:v>
      </x:c>
      <x:c r="B6" s="18" t="str">
        <x:v>TRUE quando almeno nome e barcode sono presenti.</x:v>
      </x:c>
    </x:row>
    <x:row r="7">
      <x:c r="A7" s="47" t="str">
        <x:v>Prima di importare</x:v>
      </x:c>
      <x:c r="B7" s="18" t="str">
        <x:v>Compila prezzo_costo, prezzo_vendita e quantita dove la colonna avvisi lo segnala.</x:v>
      </x:c>
    </x:row>
    <x:row r="8">
      <x:c r="A8" s="47" t="str">
        <x:v>Origine dati</x:v>
      </x:c>
      <x:c r="B8" s="18" t="str">
        <x:v>Catalogo Ferramenta</x:v>
      </x:c>
    </x:row>
  </x:sheetData>
  <x:pageMargins left="0.7" right="0.7" top="0.75" bottom="0.75" header="0.3" footer="0.3"/>
</x:worksheet>
</file>